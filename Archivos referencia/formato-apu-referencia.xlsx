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FC SAS 2026\COTIZACIONES 2026\"/>
    </mc:Choice>
  </mc:AlternateContent>
  <xr:revisionPtr revIDLastSave="0" documentId="8_{521031BE-0825-4CF0-A208-0D61FC4CD5F6}" xr6:coauthVersionLast="47" xr6:coauthVersionMax="47" xr10:uidLastSave="{00000000-0000-0000-0000-000000000000}"/>
  <bookViews>
    <workbookView xWindow="-19310" yWindow="-110" windowWidth="19420" windowHeight="10420" tabRatio="801" xr2:uid="{00000000-000D-0000-FFFF-FFFF00000000}"/>
  </bookViews>
  <sheets>
    <sheet name="herramientas mat transp y mano" sheetId="72" r:id="rId1"/>
    <sheet name="trazado,locali y replanteo" sheetId="12" r:id="rId2"/>
    <sheet name="cerramiento " sheetId="15" r:id="rId3"/>
    <sheet name="campamento" sheetId="16" r:id="rId4"/>
    <sheet name="andamios" sheetId="17" r:id="rId5"/>
    <sheet name="topografia" sheetId="18" r:id="rId6"/>
    <sheet name="acarreobotadero" sheetId="19" r:id="rId7"/>
    <sheet name="movimiento tierra" sheetId="20" r:id="rId8"/>
    <sheet name=" excavacion -1,20mts" sheetId="21" r:id="rId9"/>
    <sheet name="excavación +1,20mts" sheetId="22" r:id="rId10"/>
    <sheet name="excavación sin presencia" sheetId="23" r:id="rId11"/>
    <sheet name="excavación con presencia " sheetId="24" r:id="rId12"/>
    <sheet name="demolición concreto" sheetId="25" r:id="rId13"/>
    <sheet name="relleno manual " sheetId="26" r:id="rId14"/>
    <sheet name="relleno mecanico" sheetId="27" r:id="rId15"/>
    <sheet name="relleno con material" sheetId="28" r:id="rId16"/>
    <sheet name="suministro y colocación " sheetId="29" r:id="rId17"/>
    <sheet name="suministro e instalación " sheetId="30" r:id="rId18"/>
    <sheet name="suministro e inst. en gravilla " sheetId="31" r:id="rId19"/>
    <sheet name="suministro e inst. de adoquin " sheetId="32" r:id="rId20"/>
    <sheet name="suministro e inst. ladrillo " sheetId="33" r:id="rId21"/>
    <sheet name="revegetalización " sheetId="34" r:id="rId22"/>
    <sheet name="escarifitación " sheetId="35" r:id="rId23"/>
    <sheet name="construción alcantarilla " sheetId="36" r:id="rId24"/>
    <sheet name="canal en piedra " sheetId="37" r:id="rId25"/>
    <sheet name="suministro e inst. de geodrén " sheetId="38" r:id="rId26"/>
    <sheet name="colocación de geotextil " sheetId="39" r:id="rId27"/>
    <sheet name="colocación de geomembrana " sheetId="40" r:id="rId28"/>
    <sheet name="entibado en zanja " sheetId="41" r:id="rId29"/>
    <sheet name="construción de gaviones" sheetId="42" r:id="rId30"/>
    <sheet name="gaviones en sacos " sheetId="44" r:id="rId31"/>
    <sheet name="demolición de gaviones" sheetId="45" r:id="rId32"/>
    <sheet name="construcción de diques" sheetId="46" r:id="rId33"/>
    <sheet name="trinchos en madera" sheetId="47" r:id="rId34"/>
    <sheet name="drenajes e aguas " sheetId="48" r:id="rId35"/>
    <sheet name="instalación de tubería " sheetId="49" r:id="rId36"/>
    <sheet name="concreto simple" sheetId="50" r:id="rId37"/>
    <sheet name="concreto en espacios confinado " sheetId="51" r:id="rId38"/>
    <sheet name="concreto ciclópeo" sheetId="52" r:id="rId39"/>
    <sheet name="acero de refuerzo" sheetId="53" r:id="rId40"/>
    <sheet name="acero en espacio confinado " sheetId="54" r:id="rId41"/>
    <sheet name="mampostería en ladrillo " sheetId="55" r:id="rId42"/>
    <sheet name=" mortero " sheetId="56" r:id="rId43"/>
    <sheet name="mortero impermeabilizado " sheetId="57" r:id="rId44"/>
    <sheet name="inst. y suministro de concreto" sheetId="58" r:id="rId45"/>
    <sheet name="juntas de dilatación &lt; 1cm" sheetId="59" r:id="rId46"/>
    <sheet name="juntas de dilatación &gt;1cm" sheetId="60" r:id="rId47"/>
    <sheet name="RESUMEN ACTUALIZADO" sheetId="11" r:id="rId48"/>
    <sheet name="reparación de grietas falta " sheetId="61" r:id="rId49"/>
    <sheet name="reparación pavimento rígido fal" sheetId="62" r:id="rId50"/>
    <sheet name="dotacion" sheetId="14" r:id="rId51"/>
    <sheet name="tabla salarial" sheetId="13" r:id="rId52"/>
    <sheet name="retiro de tuberia " sheetId="63" r:id="rId53"/>
    <sheet name="preparación de superficie " sheetId="64" r:id="rId54"/>
    <sheet name="Preparación tuberia metálica " sheetId="65" r:id="rId55"/>
    <sheet name="tuberia HDPE" sheetId="66" r:id="rId56"/>
    <sheet name="instalación tuberia PVC" sheetId="67" r:id="rId57"/>
    <sheet name=" tuberia PVC" sheetId="68" r:id="rId58"/>
    <sheet name="mecánica pailería " sheetId="69" r:id="rId59"/>
    <sheet name="izaje de cargas " sheetId="70" r:id="rId60"/>
    <sheet name="Hoja23" sheetId="43" r:id="rId61"/>
  </sheets>
  <externalReferences>
    <externalReference r:id="rId62"/>
  </externalReferences>
  <definedNames>
    <definedName name="ListaEquipos">'[1]herramientas mat transp y mano'!$A$2:$A$215</definedName>
    <definedName name="ListaMateriales">'[1]herramientas mat transp y mano'!$E$2:$E$149</definedName>
    <definedName name="ListaProfesiones">'[1]herramientas mat transp y mano'!$M$2:$M$137</definedName>
    <definedName name="ListaTransporte">'[1]herramientas mat transp y mano'!$I$2:$I$26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2" i="70" l="1"/>
  <c r="F61" i="70"/>
  <c r="F60" i="70"/>
  <c r="F59" i="70"/>
  <c r="F58" i="70"/>
  <c r="F57" i="70"/>
  <c r="D56" i="70"/>
  <c r="D55" i="70"/>
  <c r="E54" i="70"/>
  <c r="D54" i="70"/>
  <c r="E53" i="70"/>
  <c r="D53" i="70"/>
  <c r="F51" i="70"/>
  <c r="E50" i="70"/>
  <c r="D50" i="70"/>
  <c r="E49" i="70"/>
  <c r="D49" i="70"/>
  <c r="E48" i="70"/>
  <c r="D48" i="70"/>
  <c r="E47" i="70"/>
  <c r="D47" i="70"/>
  <c r="E46" i="70"/>
  <c r="D46" i="70"/>
  <c r="E45" i="70"/>
  <c r="D45" i="70"/>
  <c r="E44" i="70"/>
  <c r="D44" i="70"/>
  <c r="E43" i="70"/>
  <c r="D43" i="70"/>
  <c r="F41" i="70"/>
  <c r="D40" i="70"/>
  <c r="D39" i="70"/>
  <c r="D38" i="70"/>
  <c r="D37" i="70"/>
  <c r="D36" i="70"/>
  <c r="E35" i="70"/>
  <c r="D35" i="70"/>
  <c r="E34" i="70"/>
  <c r="D34" i="70"/>
  <c r="E33" i="70"/>
  <c r="D33" i="70"/>
  <c r="E32" i="70"/>
  <c r="D32" i="70"/>
  <c r="E31" i="70"/>
  <c r="D31" i="70"/>
  <c r="E30" i="70"/>
  <c r="D30" i="70"/>
  <c r="E29" i="70"/>
  <c r="D29" i="70"/>
  <c r="E28" i="70"/>
  <c r="D28" i="70"/>
  <c r="E27" i="70"/>
  <c r="D27" i="70"/>
  <c r="E26" i="70"/>
  <c r="D26" i="70"/>
  <c r="E25" i="70"/>
  <c r="D25" i="70"/>
  <c r="E24" i="70"/>
  <c r="D24" i="70"/>
  <c r="F22" i="70"/>
  <c r="D21" i="70"/>
  <c r="D20" i="70"/>
  <c r="D19" i="70"/>
  <c r="D18" i="70"/>
  <c r="D17" i="70"/>
  <c r="D16" i="70"/>
  <c r="E15" i="70"/>
  <c r="D15" i="70"/>
  <c r="E14" i="70"/>
  <c r="D14" i="70"/>
  <c r="E13" i="70"/>
  <c r="D13" i="70"/>
  <c r="E12" i="70"/>
  <c r="D12" i="70"/>
  <c r="E11" i="70"/>
  <c r="D11" i="70"/>
  <c r="E10" i="70"/>
  <c r="D10" i="70"/>
  <c r="E9" i="70"/>
  <c r="D9" i="70"/>
  <c r="E8" i="70"/>
  <c r="D8" i="70"/>
  <c r="E7" i="70"/>
  <c r="D7" i="70"/>
  <c r="E6" i="70"/>
  <c r="D6" i="70"/>
  <c r="E5" i="70"/>
  <c r="D5" i="70"/>
  <c r="E4" i="70"/>
  <c r="D4" i="70"/>
  <c r="F3" i="70"/>
  <c r="F63" i="70" s="1"/>
  <c r="F2" i="70"/>
  <c r="F112" i="69"/>
  <c r="F111" i="69"/>
  <c r="F110" i="69"/>
  <c r="F109" i="69"/>
  <c r="F108" i="69"/>
  <c r="F107" i="69"/>
  <c r="E106" i="69"/>
  <c r="D106" i="69"/>
  <c r="E105" i="69"/>
  <c r="D105" i="69"/>
  <c r="E104" i="69"/>
  <c r="D104" i="69"/>
  <c r="E103" i="69"/>
  <c r="D103" i="69"/>
  <c r="F101" i="69"/>
  <c r="E100" i="69"/>
  <c r="D100" i="69"/>
  <c r="E99" i="69"/>
  <c r="D99" i="69"/>
  <c r="E98" i="69"/>
  <c r="D98" i="69"/>
  <c r="E97" i="69"/>
  <c r="D97" i="69"/>
  <c r="E96" i="69"/>
  <c r="D96" i="69"/>
  <c r="E95" i="69"/>
  <c r="D95" i="69"/>
  <c r="F93" i="69"/>
  <c r="D92" i="69"/>
  <c r="D91" i="69"/>
  <c r="D90" i="69"/>
  <c r="D89" i="69"/>
  <c r="D88" i="69"/>
  <c r="E87" i="69"/>
  <c r="D87" i="69"/>
  <c r="E86" i="69"/>
  <c r="D86" i="69"/>
  <c r="E85" i="69"/>
  <c r="D85" i="69"/>
  <c r="E84" i="69"/>
  <c r="D84" i="69"/>
  <c r="E83" i="69"/>
  <c r="D83" i="69"/>
  <c r="E82" i="69"/>
  <c r="D82" i="69"/>
  <c r="E81" i="69"/>
  <c r="D81" i="69"/>
  <c r="E80" i="69"/>
  <c r="D80" i="69"/>
  <c r="E79" i="69"/>
  <c r="D79" i="69"/>
  <c r="E78" i="69"/>
  <c r="D78" i="69"/>
  <c r="E77" i="69"/>
  <c r="D77" i="69"/>
  <c r="E76" i="69"/>
  <c r="D76" i="69"/>
  <c r="E75" i="69"/>
  <c r="D75" i="69"/>
  <c r="E74" i="69"/>
  <c r="D74" i="69"/>
  <c r="E73" i="69"/>
  <c r="D73" i="69"/>
  <c r="E72" i="69"/>
  <c r="D72" i="69"/>
  <c r="E71" i="69"/>
  <c r="D71" i="69"/>
  <c r="E70" i="69"/>
  <c r="D70" i="69"/>
  <c r="E69" i="69"/>
  <c r="D69" i="69"/>
  <c r="E68" i="69"/>
  <c r="D68" i="69"/>
  <c r="E67" i="69"/>
  <c r="D67" i="69"/>
  <c r="E66" i="69"/>
  <c r="D66" i="69"/>
  <c r="E65" i="69"/>
  <c r="D65" i="69"/>
  <c r="E64" i="69"/>
  <c r="D64" i="69"/>
  <c r="F62" i="69"/>
  <c r="E61" i="69"/>
  <c r="D61" i="69"/>
  <c r="E60" i="69"/>
  <c r="D60" i="69"/>
  <c r="E59" i="69"/>
  <c r="D59" i="69"/>
  <c r="E58" i="69"/>
  <c r="D58" i="69"/>
  <c r="E57" i="69"/>
  <c r="D57" i="69"/>
  <c r="E56" i="69"/>
  <c r="D56" i="69"/>
  <c r="E55" i="69"/>
  <c r="D55" i="69"/>
  <c r="E54" i="69"/>
  <c r="D54" i="69"/>
  <c r="E53" i="69"/>
  <c r="D53" i="69"/>
  <c r="E52" i="69"/>
  <c r="D52" i="69"/>
  <c r="E51" i="69"/>
  <c r="D51" i="69"/>
  <c r="E50" i="69"/>
  <c r="D50" i="69"/>
  <c r="E49" i="69"/>
  <c r="D49" i="69"/>
  <c r="E48" i="69"/>
  <c r="D48" i="69"/>
  <c r="E47" i="69"/>
  <c r="D47" i="69"/>
  <c r="E46" i="69"/>
  <c r="D46" i="69"/>
  <c r="E45" i="69"/>
  <c r="D45" i="69"/>
  <c r="E44" i="69"/>
  <c r="D44" i="69"/>
  <c r="E43" i="69"/>
  <c r="D43" i="69"/>
  <c r="E42" i="69"/>
  <c r="D42" i="69"/>
  <c r="E41" i="69"/>
  <c r="D41" i="69"/>
  <c r="E40" i="69"/>
  <c r="D40" i="69"/>
  <c r="E39" i="69"/>
  <c r="D39" i="69"/>
  <c r="E38" i="69"/>
  <c r="D38" i="69"/>
  <c r="E37" i="69"/>
  <c r="D37" i="69"/>
  <c r="E36" i="69"/>
  <c r="D36" i="69"/>
  <c r="E35" i="69"/>
  <c r="D35" i="69"/>
  <c r="E34" i="69"/>
  <c r="D34" i="69"/>
  <c r="E33" i="69"/>
  <c r="D33" i="69"/>
  <c r="E32" i="69"/>
  <c r="D32" i="69"/>
  <c r="E31" i="69"/>
  <c r="D31" i="69"/>
  <c r="E30" i="69"/>
  <c r="D30" i="69"/>
  <c r="E29" i="69"/>
  <c r="D29" i="69"/>
  <c r="E28" i="69"/>
  <c r="D28" i="69"/>
  <c r="E27" i="69"/>
  <c r="D27" i="69"/>
  <c r="E26" i="69"/>
  <c r="D26" i="69"/>
  <c r="E25" i="69"/>
  <c r="D25" i="69"/>
  <c r="E24" i="69"/>
  <c r="D24" i="69"/>
  <c r="E23" i="69"/>
  <c r="D23" i="69"/>
  <c r="E22" i="69"/>
  <c r="D22" i="69"/>
  <c r="E21" i="69"/>
  <c r="D21" i="69"/>
  <c r="E20" i="69"/>
  <c r="D20" i="69"/>
  <c r="E19" i="69"/>
  <c r="D19" i="69"/>
  <c r="E18" i="69"/>
  <c r="D18" i="69"/>
  <c r="E17" i="69"/>
  <c r="D17" i="69"/>
  <c r="E16" i="69"/>
  <c r="D16" i="69"/>
  <c r="E15" i="69"/>
  <c r="D15" i="69"/>
  <c r="E14" i="69"/>
  <c r="D14" i="69"/>
  <c r="E13" i="69"/>
  <c r="D13" i="69"/>
  <c r="E12" i="69"/>
  <c r="D12" i="69"/>
  <c r="E11" i="69"/>
  <c r="D11" i="69"/>
  <c r="E10" i="69"/>
  <c r="D10" i="69"/>
  <c r="E9" i="69"/>
  <c r="D9" i="69"/>
  <c r="E8" i="69"/>
  <c r="D8" i="69"/>
  <c r="E7" i="69"/>
  <c r="D7" i="69"/>
  <c r="E6" i="69"/>
  <c r="D6" i="69"/>
  <c r="E5" i="69"/>
  <c r="D5" i="69"/>
  <c r="E4" i="69"/>
  <c r="D4" i="69"/>
  <c r="F3" i="69"/>
  <c r="F113" i="69" s="1"/>
  <c r="F2" i="69"/>
  <c r="F63" i="68"/>
  <c r="F62" i="68"/>
  <c r="F61" i="68"/>
  <c r="F60" i="68"/>
  <c r="F59" i="68"/>
  <c r="F58" i="68"/>
  <c r="F57" i="68"/>
  <c r="D56" i="68"/>
  <c r="D55" i="68"/>
  <c r="E54" i="68"/>
  <c r="D54" i="68"/>
  <c r="E53" i="68"/>
  <c r="D53" i="68"/>
  <c r="F51" i="68"/>
  <c r="E50" i="68"/>
  <c r="D50" i="68"/>
  <c r="E49" i="68"/>
  <c r="D49" i="68"/>
  <c r="E48" i="68"/>
  <c r="D48" i="68"/>
  <c r="E47" i="68"/>
  <c r="D47" i="68"/>
  <c r="E46" i="68"/>
  <c r="D46" i="68"/>
  <c r="E45" i="68"/>
  <c r="D45" i="68"/>
  <c r="E44" i="68"/>
  <c r="D44" i="68"/>
  <c r="E43" i="68"/>
  <c r="D43" i="68"/>
  <c r="F41" i="68"/>
  <c r="D40" i="68"/>
  <c r="D39" i="68"/>
  <c r="D38" i="68"/>
  <c r="D37" i="68"/>
  <c r="D36" i="68"/>
  <c r="E35" i="68"/>
  <c r="D35" i="68"/>
  <c r="E34" i="68"/>
  <c r="D34" i="68"/>
  <c r="E33" i="68"/>
  <c r="D33" i="68"/>
  <c r="E32" i="68"/>
  <c r="D32" i="68"/>
  <c r="E31" i="68"/>
  <c r="D31" i="68"/>
  <c r="E30" i="68"/>
  <c r="D30" i="68"/>
  <c r="E29" i="68"/>
  <c r="D29" i="68"/>
  <c r="E28" i="68"/>
  <c r="D28" i="68"/>
  <c r="E27" i="68"/>
  <c r="D27" i="68"/>
  <c r="E26" i="68"/>
  <c r="D26" i="68"/>
  <c r="E25" i="68"/>
  <c r="D25" i="68"/>
  <c r="E24" i="68"/>
  <c r="D24" i="68"/>
  <c r="F22" i="68"/>
  <c r="D21" i="68"/>
  <c r="D20" i="68"/>
  <c r="D19" i="68"/>
  <c r="D18" i="68"/>
  <c r="D17" i="68"/>
  <c r="D16" i="68"/>
  <c r="E15" i="68"/>
  <c r="D15" i="68"/>
  <c r="E14" i="68"/>
  <c r="D14" i="68"/>
  <c r="E13" i="68"/>
  <c r="D13" i="68"/>
  <c r="E12" i="68"/>
  <c r="D12" i="68"/>
  <c r="E11" i="68"/>
  <c r="D11" i="68"/>
  <c r="E10" i="68"/>
  <c r="D10" i="68"/>
  <c r="E9" i="68"/>
  <c r="D9" i="68"/>
  <c r="E8" i="68"/>
  <c r="D8" i="68"/>
  <c r="E7" i="68"/>
  <c r="D7" i="68"/>
  <c r="E6" i="68"/>
  <c r="D6" i="68"/>
  <c r="E5" i="68"/>
  <c r="D5" i="68"/>
  <c r="E4" i="68"/>
  <c r="D4" i="68"/>
  <c r="F3" i="68"/>
  <c r="F2" i="68"/>
  <c r="F62" i="67"/>
  <c r="F61" i="67"/>
  <c r="F60" i="67"/>
  <c r="F59" i="67"/>
  <c r="F58" i="67"/>
  <c r="F57" i="67"/>
  <c r="D56" i="67"/>
  <c r="D55" i="67"/>
  <c r="E54" i="67"/>
  <c r="D54" i="67"/>
  <c r="E53" i="67"/>
  <c r="D53" i="67"/>
  <c r="F51" i="67"/>
  <c r="E50" i="67"/>
  <c r="D50" i="67"/>
  <c r="E49" i="67"/>
  <c r="D49" i="67"/>
  <c r="E48" i="67"/>
  <c r="D48" i="67"/>
  <c r="E47" i="67"/>
  <c r="D47" i="67"/>
  <c r="E46" i="67"/>
  <c r="D46" i="67"/>
  <c r="E45" i="67"/>
  <c r="D45" i="67"/>
  <c r="E44" i="67"/>
  <c r="D44" i="67"/>
  <c r="E43" i="67"/>
  <c r="D43" i="67"/>
  <c r="F41" i="67"/>
  <c r="D40" i="67"/>
  <c r="D39" i="67"/>
  <c r="D38" i="67"/>
  <c r="D37" i="67"/>
  <c r="D36" i="67"/>
  <c r="E35" i="67"/>
  <c r="D35" i="67"/>
  <c r="E34" i="67"/>
  <c r="D34" i="67"/>
  <c r="E33" i="67"/>
  <c r="D33" i="67"/>
  <c r="E32" i="67"/>
  <c r="D32" i="67"/>
  <c r="E31" i="67"/>
  <c r="D31" i="67"/>
  <c r="E30" i="67"/>
  <c r="D30" i="67"/>
  <c r="E29" i="67"/>
  <c r="D29" i="67"/>
  <c r="E28" i="67"/>
  <c r="D28" i="67"/>
  <c r="E27" i="67"/>
  <c r="D27" i="67"/>
  <c r="E26" i="67"/>
  <c r="D26" i="67"/>
  <c r="E25" i="67"/>
  <c r="D25" i="67"/>
  <c r="E24" i="67"/>
  <c r="D24" i="67"/>
  <c r="F22" i="67"/>
  <c r="D21" i="67"/>
  <c r="D20" i="67"/>
  <c r="D19" i="67"/>
  <c r="D18" i="67"/>
  <c r="D17" i="67"/>
  <c r="D16" i="67"/>
  <c r="E15" i="67"/>
  <c r="D15" i="67"/>
  <c r="E14" i="67"/>
  <c r="D14" i="67"/>
  <c r="E13" i="67"/>
  <c r="D13" i="67"/>
  <c r="E12" i="67"/>
  <c r="D12" i="67"/>
  <c r="E11" i="67"/>
  <c r="D11" i="67"/>
  <c r="E10" i="67"/>
  <c r="D10" i="67"/>
  <c r="E9" i="67"/>
  <c r="D9" i="67"/>
  <c r="E8" i="67"/>
  <c r="D8" i="67"/>
  <c r="E7" i="67"/>
  <c r="D7" i="67"/>
  <c r="E6" i="67"/>
  <c r="D6" i="67"/>
  <c r="E5" i="67"/>
  <c r="D5" i="67"/>
  <c r="E4" i="67"/>
  <c r="D4" i="67"/>
  <c r="F3" i="67"/>
  <c r="F63" i="67" s="1"/>
  <c r="F2" i="67"/>
  <c r="F73" i="66"/>
  <c r="F72" i="66"/>
  <c r="F71" i="66"/>
  <c r="F70" i="66"/>
  <c r="F69" i="66"/>
  <c r="F68" i="66"/>
  <c r="E67" i="66"/>
  <c r="D67" i="66"/>
  <c r="E66" i="66"/>
  <c r="D66" i="66"/>
  <c r="E65" i="66"/>
  <c r="D65" i="66"/>
  <c r="E64" i="66"/>
  <c r="D64" i="66"/>
  <c r="F62" i="66"/>
  <c r="E61" i="66"/>
  <c r="D61" i="66"/>
  <c r="E60" i="66"/>
  <c r="D60" i="66"/>
  <c r="E59" i="66"/>
  <c r="D59" i="66"/>
  <c r="E58" i="66"/>
  <c r="D58" i="66"/>
  <c r="E57" i="66"/>
  <c r="D57" i="66"/>
  <c r="E56" i="66"/>
  <c r="D56" i="66"/>
  <c r="F54" i="66"/>
  <c r="D53" i="66"/>
  <c r="D52" i="66"/>
  <c r="D51" i="66"/>
  <c r="D50" i="66"/>
  <c r="D49" i="66"/>
  <c r="E48" i="66"/>
  <c r="D48" i="66"/>
  <c r="E47" i="66"/>
  <c r="D47" i="66"/>
  <c r="E46" i="66"/>
  <c r="D46" i="66"/>
  <c r="E45" i="66"/>
  <c r="D45" i="66"/>
  <c r="E44" i="66"/>
  <c r="D44" i="66"/>
  <c r="E43" i="66"/>
  <c r="D43" i="66"/>
  <c r="E42" i="66"/>
  <c r="D42" i="66"/>
  <c r="E41" i="66"/>
  <c r="D41" i="66"/>
  <c r="E27" i="66"/>
  <c r="D27" i="66"/>
  <c r="E26" i="66"/>
  <c r="D26" i="66"/>
  <c r="E25" i="66"/>
  <c r="D25" i="66"/>
  <c r="E24" i="66"/>
  <c r="D24" i="66"/>
  <c r="F22" i="66"/>
  <c r="D21" i="66"/>
  <c r="D20" i="66"/>
  <c r="D19" i="66"/>
  <c r="D18" i="66"/>
  <c r="D17" i="66"/>
  <c r="D16" i="66"/>
  <c r="E15" i="66"/>
  <c r="D15" i="66"/>
  <c r="E14" i="66"/>
  <c r="D14" i="66"/>
  <c r="E13" i="66"/>
  <c r="D13" i="66"/>
  <c r="E12" i="66"/>
  <c r="D12" i="66"/>
  <c r="E11" i="66"/>
  <c r="D11" i="66"/>
  <c r="E10" i="66"/>
  <c r="D10" i="66"/>
  <c r="E9" i="66"/>
  <c r="D9" i="66"/>
  <c r="E8" i="66"/>
  <c r="D8" i="66"/>
  <c r="E7" i="66"/>
  <c r="D7" i="66"/>
  <c r="E6" i="66"/>
  <c r="D6" i="66"/>
  <c r="E5" i="66"/>
  <c r="D5" i="66"/>
  <c r="E4" i="66"/>
  <c r="D4" i="66"/>
  <c r="F3" i="66"/>
  <c r="F74" i="66" s="1"/>
  <c r="F2" i="66"/>
  <c r="F62" i="65"/>
  <c r="F61" i="65"/>
  <c r="F60" i="65"/>
  <c r="F59" i="65"/>
  <c r="F58" i="65"/>
  <c r="F57" i="65"/>
  <c r="D56" i="65"/>
  <c r="D55" i="65"/>
  <c r="E54" i="65"/>
  <c r="D54" i="65"/>
  <c r="E53" i="65"/>
  <c r="D53" i="65"/>
  <c r="F51" i="65"/>
  <c r="E50" i="65"/>
  <c r="D50" i="65"/>
  <c r="E49" i="65"/>
  <c r="D49" i="65"/>
  <c r="E48" i="65"/>
  <c r="D48" i="65"/>
  <c r="E47" i="65"/>
  <c r="D47" i="65"/>
  <c r="E46" i="65"/>
  <c r="D46" i="65"/>
  <c r="E45" i="65"/>
  <c r="D45" i="65"/>
  <c r="E44" i="65"/>
  <c r="D44" i="65"/>
  <c r="E43" i="65"/>
  <c r="D43" i="65"/>
  <c r="F41" i="65"/>
  <c r="D40" i="65"/>
  <c r="D39" i="65"/>
  <c r="D38" i="65"/>
  <c r="D37" i="65"/>
  <c r="D36" i="65"/>
  <c r="E35" i="65"/>
  <c r="D35" i="65"/>
  <c r="E34" i="65"/>
  <c r="D34" i="65"/>
  <c r="E33" i="65"/>
  <c r="D33" i="65"/>
  <c r="E32" i="65"/>
  <c r="D32" i="65"/>
  <c r="E31" i="65"/>
  <c r="D31" i="65"/>
  <c r="E30" i="65"/>
  <c r="D30" i="65"/>
  <c r="E29" i="65"/>
  <c r="D29" i="65"/>
  <c r="E28" i="65"/>
  <c r="D28" i="65"/>
  <c r="E27" i="65"/>
  <c r="D27" i="65"/>
  <c r="E26" i="65"/>
  <c r="D26" i="65"/>
  <c r="E25" i="65"/>
  <c r="D25" i="65"/>
  <c r="E24" i="65"/>
  <c r="D24" i="65"/>
  <c r="F22" i="65"/>
  <c r="D21" i="65"/>
  <c r="D20" i="65"/>
  <c r="D19" i="65"/>
  <c r="D18" i="65"/>
  <c r="D17" i="65"/>
  <c r="D16" i="65"/>
  <c r="E15" i="65"/>
  <c r="D15" i="65"/>
  <c r="E14" i="65"/>
  <c r="D14" i="65"/>
  <c r="E13" i="65"/>
  <c r="D13" i="65"/>
  <c r="E12" i="65"/>
  <c r="D12" i="65"/>
  <c r="E11" i="65"/>
  <c r="D11" i="65"/>
  <c r="E10" i="65"/>
  <c r="D10" i="65"/>
  <c r="E9" i="65"/>
  <c r="D9" i="65"/>
  <c r="E8" i="65"/>
  <c r="D8" i="65"/>
  <c r="E7" i="65"/>
  <c r="D7" i="65"/>
  <c r="E6" i="65"/>
  <c r="D6" i="65"/>
  <c r="E5" i="65"/>
  <c r="D5" i="65"/>
  <c r="E4" i="65"/>
  <c r="D4" i="65"/>
  <c r="F3" i="65"/>
  <c r="F63" i="65" s="1"/>
  <c r="F2" i="65"/>
  <c r="F60" i="64"/>
  <c r="F59" i="64"/>
  <c r="F58" i="64"/>
  <c r="F57" i="64"/>
  <c r="F56" i="64"/>
  <c r="F55" i="64"/>
  <c r="D54" i="64"/>
  <c r="D53" i="64"/>
  <c r="E52" i="64"/>
  <c r="D52" i="64"/>
  <c r="E51" i="64"/>
  <c r="D51" i="64"/>
  <c r="F49" i="64"/>
  <c r="E48" i="64"/>
  <c r="D48" i="64"/>
  <c r="E47" i="64"/>
  <c r="D47" i="64"/>
  <c r="E46" i="64"/>
  <c r="D46" i="64"/>
  <c r="E45" i="64"/>
  <c r="D45" i="64"/>
  <c r="E44" i="64"/>
  <c r="D44" i="64"/>
  <c r="E43" i="64"/>
  <c r="D43" i="64"/>
  <c r="E42" i="64"/>
  <c r="D42" i="64"/>
  <c r="E41" i="64"/>
  <c r="D41" i="64"/>
  <c r="F39" i="64"/>
  <c r="D38" i="64"/>
  <c r="D37" i="64"/>
  <c r="D36" i="64"/>
  <c r="D35" i="64"/>
  <c r="D34" i="64"/>
  <c r="E33" i="64"/>
  <c r="D33" i="64"/>
  <c r="E32" i="64"/>
  <c r="D32" i="64"/>
  <c r="E31" i="64"/>
  <c r="D31" i="64"/>
  <c r="E30" i="64"/>
  <c r="D30" i="64"/>
  <c r="E29" i="64"/>
  <c r="D29" i="64"/>
  <c r="E28" i="64"/>
  <c r="D28" i="64"/>
  <c r="E27" i="64"/>
  <c r="D27" i="64"/>
  <c r="E26" i="64"/>
  <c r="D26" i="64"/>
  <c r="E25" i="64"/>
  <c r="D25" i="64"/>
  <c r="E24" i="64"/>
  <c r="D24" i="64"/>
  <c r="E23" i="64"/>
  <c r="D23" i="64"/>
  <c r="E22" i="64"/>
  <c r="D22" i="64"/>
  <c r="F20" i="64"/>
  <c r="D19" i="64"/>
  <c r="D18" i="64"/>
  <c r="D17" i="64"/>
  <c r="D16" i="64"/>
  <c r="D15" i="64"/>
  <c r="D14" i="64"/>
  <c r="E13" i="64"/>
  <c r="D13" i="64"/>
  <c r="E12" i="64"/>
  <c r="D12" i="64"/>
  <c r="E11" i="64"/>
  <c r="D11" i="64"/>
  <c r="E10" i="64"/>
  <c r="D10" i="64"/>
  <c r="E9" i="64"/>
  <c r="D9" i="64"/>
  <c r="E8" i="64"/>
  <c r="D8" i="64"/>
  <c r="E7" i="64"/>
  <c r="D7" i="64"/>
  <c r="E6" i="64"/>
  <c r="D6" i="64"/>
  <c r="E5" i="64"/>
  <c r="D5" i="64"/>
  <c r="E4" i="64"/>
  <c r="D4" i="64"/>
  <c r="F3" i="64"/>
  <c r="F61" i="64" s="1"/>
  <c r="F2" i="64"/>
  <c r="F62" i="63"/>
  <c r="F61" i="63"/>
  <c r="F60" i="63"/>
  <c r="F59" i="63"/>
  <c r="F58" i="63"/>
  <c r="F57" i="63"/>
  <c r="E54" i="63"/>
  <c r="E53" i="63"/>
  <c r="E52" i="63"/>
  <c r="E51" i="63"/>
  <c r="E50" i="63"/>
  <c r="D50" i="63"/>
  <c r="F48" i="63"/>
  <c r="E47" i="63"/>
  <c r="D47" i="63"/>
  <c r="E46" i="63"/>
  <c r="D46" i="63"/>
  <c r="E45" i="63"/>
  <c r="D45" i="63"/>
  <c r="E44" i="63"/>
  <c r="D44" i="63"/>
  <c r="E43" i="63"/>
  <c r="D43" i="63"/>
  <c r="F41" i="63"/>
  <c r="D40" i="63"/>
  <c r="D39" i="63"/>
  <c r="D38" i="63"/>
  <c r="D37" i="63"/>
  <c r="F22" i="63"/>
  <c r="D21" i="63"/>
  <c r="D20" i="63"/>
  <c r="D19" i="63"/>
  <c r="D18" i="63"/>
  <c r="D17" i="63"/>
  <c r="D16" i="63"/>
  <c r="F3" i="63"/>
  <c r="F63" i="63" s="1"/>
  <c r="F2" i="63"/>
  <c r="AS9" i="13"/>
  <c r="AR9" i="13"/>
  <c r="AQ9" i="13"/>
  <c r="AO9" i="13"/>
  <c r="AN9" i="13"/>
  <c r="AJ9" i="13"/>
  <c r="AH9" i="13"/>
  <c r="AG9" i="13"/>
  <c r="AF9" i="13"/>
  <c r="AE9" i="13"/>
  <c r="AD9" i="13"/>
  <c r="AC9" i="13"/>
  <c r="AA9" i="13"/>
  <c r="Z9" i="13"/>
  <c r="X9" i="13"/>
  <c r="W9" i="13"/>
  <c r="U9" i="13"/>
  <c r="T9" i="13"/>
  <c r="R9" i="13"/>
  <c r="O9" i="13"/>
  <c r="N9" i="13"/>
  <c r="M9" i="13"/>
  <c r="L9" i="13"/>
  <c r="K9" i="13"/>
  <c r="J9" i="13"/>
  <c r="I9" i="13"/>
  <c r="H9" i="13"/>
  <c r="G9" i="13"/>
  <c r="F9" i="13"/>
  <c r="E9" i="13"/>
  <c r="D9" i="13"/>
  <c r="AR8" i="13"/>
  <c r="AS8" i="13" s="1"/>
  <c r="AQ8" i="13"/>
  <c r="AJ8" i="13"/>
  <c r="AH8" i="13"/>
  <c r="AG8" i="13"/>
  <c r="AF8" i="13"/>
  <c r="AE8" i="13"/>
  <c r="AD8" i="13"/>
  <c r="AC8" i="13"/>
  <c r="AA8" i="13"/>
  <c r="Z8" i="13"/>
  <c r="X8" i="13"/>
  <c r="W8" i="13"/>
  <c r="U8" i="13"/>
  <c r="T8" i="13"/>
  <c r="R8" i="13"/>
  <c r="O8" i="13"/>
  <c r="N8" i="13"/>
  <c r="M8" i="13"/>
  <c r="L8" i="13"/>
  <c r="K8" i="13"/>
  <c r="J8" i="13"/>
  <c r="I8" i="13"/>
  <c r="H8" i="13"/>
  <c r="G8" i="13"/>
  <c r="F8" i="13"/>
  <c r="E8" i="13"/>
  <c r="D8" i="13"/>
  <c r="AR7" i="13"/>
  <c r="AS7" i="13" s="1"/>
  <c r="AQ7" i="13"/>
  <c r="AJ7" i="13"/>
  <c r="AH7" i="13"/>
  <c r="AG7" i="13"/>
  <c r="AF7" i="13"/>
  <c r="AE7" i="13"/>
  <c r="AD7" i="13"/>
  <c r="AC7" i="13"/>
  <c r="AA7" i="13"/>
  <c r="Z7" i="13"/>
  <c r="X7" i="13"/>
  <c r="W7" i="13"/>
  <c r="U7" i="13"/>
  <c r="T7" i="13"/>
  <c r="R7" i="13"/>
  <c r="O7" i="13"/>
  <c r="N7" i="13"/>
  <c r="M7" i="13"/>
  <c r="L7" i="13"/>
  <c r="K7" i="13"/>
  <c r="J7" i="13"/>
  <c r="I7" i="13"/>
  <c r="H7" i="13"/>
  <c r="G7" i="13"/>
  <c r="F7" i="13"/>
  <c r="E7" i="13"/>
  <c r="D7" i="13"/>
  <c r="AQ6" i="13"/>
  <c r="AR6" i="13" s="1"/>
  <c r="AS6" i="13" s="1"/>
  <c r="O31" i="72" s="1"/>
  <c r="AJ6" i="13"/>
  <c r="AH6" i="13"/>
  <c r="AG6" i="13"/>
  <c r="AF6" i="13"/>
  <c r="AE6" i="13"/>
  <c r="AD6" i="13"/>
  <c r="AC6" i="13"/>
  <c r="AA6" i="13"/>
  <c r="Z6" i="13"/>
  <c r="X6" i="13"/>
  <c r="W6" i="13"/>
  <c r="U6" i="13"/>
  <c r="T6" i="13"/>
  <c r="R6" i="13"/>
  <c r="O6" i="13"/>
  <c r="N6" i="13"/>
  <c r="M6" i="13"/>
  <c r="L6" i="13"/>
  <c r="K6" i="13"/>
  <c r="J6" i="13"/>
  <c r="I6" i="13"/>
  <c r="H6" i="13"/>
  <c r="G6" i="13"/>
  <c r="F6" i="13"/>
  <c r="E6" i="13"/>
  <c r="D6" i="13"/>
  <c r="AQ5" i="13"/>
  <c r="AR5" i="13" s="1"/>
  <c r="AS5" i="13" s="1"/>
  <c r="AJ5" i="13"/>
  <c r="AH5" i="13"/>
  <c r="AG5" i="13"/>
  <c r="AF5" i="13"/>
  <c r="AE5" i="13"/>
  <c r="AD5" i="13"/>
  <c r="AC5" i="13"/>
  <c r="AA5" i="13"/>
  <c r="Z5" i="13"/>
  <c r="X5" i="13"/>
  <c r="W5" i="13"/>
  <c r="U5" i="13"/>
  <c r="T5" i="13"/>
  <c r="R5" i="13"/>
  <c r="O5" i="13"/>
  <c r="N5" i="13"/>
  <c r="M5" i="13"/>
  <c r="L5" i="13"/>
  <c r="K5" i="13"/>
  <c r="J5" i="13"/>
  <c r="I5" i="13"/>
  <c r="H5" i="13"/>
  <c r="G5" i="13"/>
  <c r="F5" i="13"/>
  <c r="E5" i="13"/>
  <c r="D5" i="13"/>
  <c r="AQ4" i="13"/>
  <c r="AR4" i="13" s="1"/>
  <c r="AS4" i="13" s="1"/>
  <c r="AO4" i="13"/>
  <c r="AN4" i="13"/>
  <c r="AJ4" i="13"/>
  <c r="AH4" i="13"/>
  <c r="AG4" i="13"/>
  <c r="AF4" i="13"/>
  <c r="AE4" i="13"/>
  <c r="AD4" i="13"/>
  <c r="AC4" i="13"/>
  <c r="AA4" i="13"/>
  <c r="Z4" i="13"/>
  <c r="X4" i="13"/>
  <c r="W4" i="13"/>
  <c r="U4" i="13"/>
  <c r="T4" i="13"/>
  <c r="R4" i="13"/>
  <c r="O4" i="13"/>
  <c r="N4" i="13"/>
  <c r="M4" i="13"/>
  <c r="L4" i="13"/>
  <c r="K4" i="13"/>
  <c r="J4" i="13"/>
  <c r="I4" i="13"/>
  <c r="H4" i="13"/>
  <c r="G4" i="13"/>
  <c r="F4" i="13"/>
  <c r="E4" i="13"/>
  <c r="D4" i="13"/>
  <c r="I31" i="14"/>
  <c r="H31" i="14"/>
  <c r="G31" i="14"/>
  <c r="F31" i="14"/>
  <c r="E31" i="14"/>
  <c r="D31" i="14"/>
  <c r="I30" i="14"/>
  <c r="H30" i="14"/>
  <c r="G30" i="14"/>
  <c r="F30" i="14"/>
  <c r="E30" i="14"/>
  <c r="D30" i="14"/>
  <c r="I28" i="14"/>
  <c r="H28" i="14"/>
  <c r="G28" i="14"/>
  <c r="I27" i="14"/>
  <c r="H27" i="14"/>
  <c r="G27" i="14"/>
  <c r="F27" i="14"/>
  <c r="E27" i="14"/>
  <c r="D27" i="14"/>
  <c r="I26" i="14"/>
  <c r="H26" i="14"/>
  <c r="G26" i="14"/>
  <c r="F26" i="14"/>
  <c r="E26" i="14"/>
  <c r="D26" i="14"/>
  <c r="E25" i="14"/>
  <c r="D25" i="14"/>
  <c r="I24" i="14"/>
  <c r="H24" i="14"/>
  <c r="G24" i="14"/>
  <c r="F23" i="14"/>
  <c r="I22" i="14"/>
  <c r="H22" i="14"/>
  <c r="G22" i="14"/>
  <c r="F22" i="14"/>
  <c r="I20" i="14"/>
  <c r="H20" i="14"/>
  <c r="G20" i="14"/>
  <c r="I19" i="14"/>
  <c r="H19" i="14"/>
  <c r="G19" i="14"/>
  <c r="I18" i="14"/>
  <c r="H18" i="14"/>
  <c r="G18" i="14"/>
  <c r="E18" i="14"/>
  <c r="D18" i="14"/>
  <c r="I17" i="14"/>
  <c r="H17" i="14"/>
  <c r="G17" i="14"/>
  <c r="E17" i="14"/>
  <c r="D16" i="14"/>
  <c r="I15" i="14"/>
  <c r="H15" i="14"/>
  <c r="G15" i="14"/>
  <c r="F15" i="14"/>
  <c r="E15" i="14"/>
  <c r="D15" i="14"/>
  <c r="I14" i="14"/>
  <c r="H14" i="14"/>
  <c r="G14" i="14"/>
  <c r="F14" i="14"/>
  <c r="E14" i="14"/>
  <c r="D14" i="14"/>
  <c r="I13" i="14"/>
  <c r="H13" i="14"/>
  <c r="G13" i="14"/>
  <c r="F13" i="14"/>
  <c r="E13" i="14"/>
  <c r="D13" i="14"/>
  <c r="I12" i="14"/>
  <c r="H12" i="14"/>
  <c r="G12" i="14"/>
  <c r="F12" i="14"/>
  <c r="E12" i="14"/>
  <c r="D12" i="14"/>
  <c r="I11" i="14"/>
  <c r="H11" i="14"/>
  <c r="G11" i="14"/>
  <c r="F11" i="14"/>
  <c r="E11" i="14"/>
  <c r="D11" i="14"/>
  <c r="I10" i="14"/>
  <c r="H10" i="14"/>
  <c r="G10" i="14"/>
  <c r="F10" i="14"/>
  <c r="E10" i="14"/>
  <c r="D10" i="14"/>
  <c r="I9" i="14"/>
  <c r="H9" i="14"/>
  <c r="G9" i="14"/>
  <c r="F9" i="14"/>
  <c r="E9" i="14"/>
  <c r="D9" i="14"/>
  <c r="I8" i="14"/>
  <c r="H8" i="14"/>
  <c r="G8" i="14"/>
  <c r="F8" i="14"/>
  <c r="E8" i="14"/>
  <c r="D8" i="14"/>
  <c r="I7" i="14"/>
  <c r="H7" i="14"/>
  <c r="G7" i="14"/>
  <c r="F7" i="14"/>
  <c r="E7" i="14"/>
  <c r="D7" i="14"/>
  <c r="I5" i="14"/>
  <c r="H5" i="14"/>
  <c r="G5" i="14"/>
  <c r="F5" i="14"/>
  <c r="E5" i="14"/>
  <c r="D5" i="14"/>
  <c r="I4" i="14"/>
  <c r="H4" i="14"/>
  <c r="G4" i="14"/>
  <c r="F4" i="14"/>
  <c r="E4" i="14"/>
  <c r="D4" i="14"/>
  <c r="I3" i="14"/>
  <c r="H3" i="14"/>
  <c r="G3" i="14"/>
  <c r="F3" i="14"/>
  <c r="E3" i="14"/>
  <c r="D3" i="14"/>
  <c r="F61" i="62"/>
  <c r="F60" i="62"/>
  <c r="F59" i="62"/>
  <c r="F58" i="62"/>
  <c r="F57" i="62"/>
  <c r="F56" i="62"/>
  <c r="D55" i="62"/>
  <c r="D54" i="62"/>
  <c r="E53" i="62"/>
  <c r="D53" i="62"/>
  <c r="E52" i="62"/>
  <c r="D52" i="62"/>
  <c r="F50" i="62"/>
  <c r="E49" i="62"/>
  <c r="D49" i="62"/>
  <c r="E48" i="62"/>
  <c r="D48" i="62"/>
  <c r="E47" i="62"/>
  <c r="D47" i="62"/>
  <c r="E46" i="62"/>
  <c r="D46" i="62"/>
  <c r="E45" i="62"/>
  <c r="D45" i="62"/>
  <c r="E44" i="62"/>
  <c r="D44" i="62"/>
  <c r="E43" i="62"/>
  <c r="D43" i="62"/>
  <c r="E42" i="62"/>
  <c r="D42" i="62"/>
  <c r="F40" i="62"/>
  <c r="D39" i="62"/>
  <c r="D38" i="62"/>
  <c r="D37" i="62"/>
  <c r="D36" i="62"/>
  <c r="D35" i="62"/>
  <c r="F21" i="62"/>
  <c r="D20" i="62"/>
  <c r="D19" i="62"/>
  <c r="D18" i="62"/>
  <c r="D17" i="62"/>
  <c r="D16" i="62"/>
  <c r="E12" i="62"/>
  <c r="D12" i="62"/>
  <c r="E11" i="62"/>
  <c r="D11" i="62"/>
  <c r="E10" i="62"/>
  <c r="D10" i="62"/>
  <c r="E9" i="62"/>
  <c r="D9" i="62"/>
  <c r="E8" i="62"/>
  <c r="D8" i="62"/>
  <c r="E7" i="62"/>
  <c r="D7" i="62"/>
  <c r="E6" i="62"/>
  <c r="D6" i="62"/>
  <c r="E5" i="62"/>
  <c r="D5" i="62"/>
  <c r="E4" i="62"/>
  <c r="D4" i="62"/>
  <c r="F3" i="62"/>
  <c r="F62" i="62" s="1"/>
  <c r="F2" i="62"/>
  <c r="F63" i="61"/>
  <c r="F62" i="61"/>
  <c r="F61" i="61"/>
  <c r="F60" i="61"/>
  <c r="F59" i="61"/>
  <c r="F58" i="61"/>
  <c r="F57" i="61"/>
  <c r="D56" i="61"/>
  <c r="D55" i="61"/>
  <c r="E54" i="61"/>
  <c r="D54" i="61"/>
  <c r="E53" i="61"/>
  <c r="D53" i="61"/>
  <c r="F51" i="61"/>
  <c r="E50" i="61"/>
  <c r="D50" i="61"/>
  <c r="E49" i="61"/>
  <c r="D49" i="61"/>
  <c r="E48" i="61"/>
  <c r="D48" i="61"/>
  <c r="E47" i="61"/>
  <c r="D47" i="61"/>
  <c r="E46" i="61"/>
  <c r="D46" i="61"/>
  <c r="E45" i="61"/>
  <c r="D45" i="61"/>
  <c r="E44" i="61"/>
  <c r="D44" i="61"/>
  <c r="E43" i="61"/>
  <c r="D43" i="61"/>
  <c r="F41" i="61"/>
  <c r="D40" i="61"/>
  <c r="D39" i="61"/>
  <c r="D38" i="61"/>
  <c r="D37" i="61"/>
  <c r="D36" i="61"/>
  <c r="E35" i="61"/>
  <c r="D35" i="61"/>
  <c r="E34" i="61"/>
  <c r="D34" i="61"/>
  <c r="E33" i="61"/>
  <c r="D33" i="61"/>
  <c r="E32" i="61"/>
  <c r="D32" i="61"/>
  <c r="E31" i="61"/>
  <c r="D31" i="61"/>
  <c r="E30" i="61"/>
  <c r="D30" i="61"/>
  <c r="E29" i="61"/>
  <c r="D29" i="61"/>
  <c r="E28" i="61"/>
  <c r="D28" i="61"/>
  <c r="E27" i="61"/>
  <c r="D27" i="61"/>
  <c r="E26" i="61"/>
  <c r="D26" i="61"/>
  <c r="E25" i="61"/>
  <c r="D25" i="61"/>
  <c r="E24" i="61"/>
  <c r="D24" i="61"/>
  <c r="F22" i="61"/>
  <c r="D21" i="61"/>
  <c r="D20" i="61"/>
  <c r="D19" i="61"/>
  <c r="D18" i="61"/>
  <c r="D17" i="61"/>
  <c r="D16" i="61"/>
  <c r="E15" i="61"/>
  <c r="D15" i="61"/>
  <c r="E14" i="61"/>
  <c r="D14" i="61"/>
  <c r="E13" i="61"/>
  <c r="D13" i="61"/>
  <c r="E12" i="61"/>
  <c r="D12" i="61"/>
  <c r="E11" i="61"/>
  <c r="D11" i="61"/>
  <c r="E10" i="61"/>
  <c r="D10" i="61"/>
  <c r="E9" i="61"/>
  <c r="D9" i="61"/>
  <c r="E8" i="61"/>
  <c r="D8" i="61"/>
  <c r="E7" i="61"/>
  <c r="D7" i="61"/>
  <c r="E6" i="61"/>
  <c r="D6" i="61"/>
  <c r="E5" i="61"/>
  <c r="D5" i="61"/>
  <c r="E4" i="61"/>
  <c r="D4" i="61"/>
  <c r="F3" i="61"/>
  <c r="F2" i="6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E29" i="11"/>
  <c r="F29" i="11" s="1"/>
  <c r="F28" i="11"/>
  <c r="E28" i="11"/>
  <c r="E27" i="11"/>
  <c r="F27" i="11" s="1"/>
  <c r="F26" i="11"/>
  <c r="E26" i="11"/>
  <c r="E25" i="11"/>
  <c r="F25" i="11" s="1"/>
  <c r="F24" i="11"/>
  <c r="E24" i="11"/>
  <c r="F22" i="11"/>
  <c r="E22" i="11"/>
  <c r="E21" i="11"/>
  <c r="F21" i="11" s="1"/>
  <c r="F20" i="11"/>
  <c r="E20" i="11"/>
  <c r="E19" i="11"/>
  <c r="F19" i="11" s="1"/>
  <c r="F62" i="60"/>
  <c r="F61" i="60"/>
  <c r="F60" i="60"/>
  <c r="F59" i="60"/>
  <c r="F58" i="60"/>
  <c r="F57" i="60"/>
  <c r="D56" i="60"/>
  <c r="D55" i="60"/>
  <c r="E54" i="60"/>
  <c r="D54" i="60"/>
  <c r="E53" i="60"/>
  <c r="D53" i="60"/>
  <c r="F51" i="60"/>
  <c r="E50" i="60"/>
  <c r="D50" i="60"/>
  <c r="E49" i="60"/>
  <c r="D49" i="60"/>
  <c r="E48" i="60"/>
  <c r="D48" i="60"/>
  <c r="E47" i="60"/>
  <c r="D47" i="60"/>
  <c r="E46" i="60"/>
  <c r="D46" i="60"/>
  <c r="E45" i="60"/>
  <c r="D45" i="60"/>
  <c r="E44" i="60"/>
  <c r="D44" i="60"/>
  <c r="E43" i="60"/>
  <c r="D43" i="60"/>
  <c r="F41" i="60"/>
  <c r="D40" i="60"/>
  <c r="D39" i="60"/>
  <c r="D38" i="60"/>
  <c r="E32" i="60"/>
  <c r="D32" i="60"/>
  <c r="E31" i="60"/>
  <c r="D31" i="60"/>
  <c r="E30" i="60"/>
  <c r="D30" i="60"/>
  <c r="E29" i="60"/>
  <c r="D29" i="60"/>
  <c r="E28" i="60"/>
  <c r="D28" i="60"/>
  <c r="E27" i="60"/>
  <c r="D27" i="60"/>
  <c r="E26" i="60"/>
  <c r="D26" i="60"/>
  <c r="E25" i="60"/>
  <c r="D25" i="60"/>
  <c r="E24" i="60"/>
  <c r="D24" i="60"/>
  <c r="F22" i="60"/>
  <c r="D21" i="60"/>
  <c r="D20" i="60"/>
  <c r="D19" i="60"/>
  <c r="D18" i="60"/>
  <c r="D17" i="60"/>
  <c r="E9" i="60"/>
  <c r="E8" i="60"/>
  <c r="E7" i="60"/>
  <c r="E6" i="60"/>
  <c r="E5" i="60"/>
  <c r="E4" i="60"/>
  <c r="F3" i="60"/>
  <c r="F63" i="60" s="1"/>
  <c r="E52" i="11" s="1"/>
  <c r="F52" i="11" s="1"/>
  <c r="F2" i="60"/>
  <c r="F50" i="59"/>
  <c r="F49" i="59"/>
  <c r="F48" i="59"/>
  <c r="F47" i="59"/>
  <c r="F46" i="59"/>
  <c r="F45" i="59"/>
  <c r="D44" i="59"/>
  <c r="E43" i="59"/>
  <c r="D43" i="59"/>
  <c r="E42" i="59"/>
  <c r="D42" i="59"/>
  <c r="E41" i="59"/>
  <c r="D41" i="59"/>
  <c r="F39" i="59"/>
  <c r="E38" i="59"/>
  <c r="D38" i="59"/>
  <c r="E37" i="59"/>
  <c r="D37" i="59"/>
  <c r="E36" i="59"/>
  <c r="D36" i="59"/>
  <c r="E35" i="59"/>
  <c r="D35" i="59"/>
  <c r="E34" i="59"/>
  <c r="D34" i="59"/>
  <c r="E33" i="59"/>
  <c r="D33" i="59"/>
  <c r="E32" i="59"/>
  <c r="D32" i="59"/>
  <c r="E31" i="59"/>
  <c r="D31" i="59"/>
  <c r="F29" i="59"/>
  <c r="D28" i="59"/>
  <c r="D27" i="59"/>
  <c r="E26" i="59"/>
  <c r="D26" i="59"/>
  <c r="E25" i="59"/>
  <c r="D25" i="59"/>
  <c r="E24" i="59"/>
  <c r="D24" i="59"/>
  <c r="E23" i="59"/>
  <c r="D23" i="59"/>
  <c r="E22" i="59"/>
  <c r="D22" i="59"/>
  <c r="E21" i="59"/>
  <c r="D21" i="59"/>
  <c r="E20" i="59"/>
  <c r="D20" i="59"/>
  <c r="E19" i="59"/>
  <c r="D19" i="59"/>
  <c r="E18" i="59"/>
  <c r="D18" i="59"/>
  <c r="F16" i="59"/>
  <c r="D15" i="59"/>
  <c r="D14" i="59"/>
  <c r="D13" i="59"/>
  <c r="D12" i="59"/>
  <c r="D11" i="59"/>
  <c r="D10" i="59"/>
  <c r="E9" i="59"/>
  <c r="E8" i="59"/>
  <c r="E7" i="59"/>
  <c r="E6" i="59"/>
  <c r="E5" i="59"/>
  <c r="E4" i="59"/>
  <c r="F3" i="59"/>
  <c r="F51" i="59" s="1"/>
  <c r="E51" i="11" s="1"/>
  <c r="F51" i="11" s="1"/>
  <c r="F2" i="59"/>
  <c r="F63" i="58"/>
  <c r="F62" i="58"/>
  <c r="F61" i="58"/>
  <c r="F60" i="58"/>
  <c r="F59" i="58"/>
  <c r="F58" i="58"/>
  <c r="E57" i="58"/>
  <c r="D57" i="58"/>
  <c r="E56" i="58"/>
  <c r="D56" i="58"/>
  <c r="E55" i="58"/>
  <c r="D55" i="58"/>
  <c r="E54" i="58"/>
  <c r="D54" i="58"/>
  <c r="E53" i="58"/>
  <c r="D53" i="58"/>
  <c r="F51" i="58"/>
  <c r="E50" i="58"/>
  <c r="D50" i="58"/>
  <c r="E49" i="58"/>
  <c r="D49" i="58"/>
  <c r="E48" i="58"/>
  <c r="D48" i="58"/>
  <c r="E47" i="58"/>
  <c r="D47" i="58"/>
  <c r="E46" i="58"/>
  <c r="D46" i="58"/>
  <c r="E45" i="58"/>
  <c r="D45" i="58"/>
  <c r="E44" i="58"/>
  <c r="D44" i="58"/>
  <c r="E43" i="58"/>
  <c r="D43" i="58"/>
  <c r="F41" i="58"/>
  <c r="D40" i="58"/>
  <c r="D39" i="58"/>
  <c r="D38" i="58"/>
  <c r="D37" i="58"/>
  <c r="D36" i="58"/>
  <c r="E35" i="58"/>
  <c r="D35" i="58"/>
  <c r="E34" i="58"/>
  <c r="D34" i="58"/>
  <c r="E33" i="58"/>
  <c r="D33" i="58"/>
  <c r="E32" i="58"/>
  <c r="D32" i="58"/>
  <c r="E31" i="58"/>
  <c r="D31" i="58"/>
  <c r="E30" i="58"/>
  <c r="D30" i="58"/>
  <c r="E29" i="58"/>
  <c r="D29" i="58"/>
  <c r="E28" i="58"/>
  <c r="D28" i="58"/>
  <c r="E27" i="58"/>
  <c r="D27" i="58"/>
  <c r="E26" i="58"/>
  <c r="D26" i="58"/>
  <c r="E25" i="58"/>
  <c r="D25" i="58"/>
  <c r="E24" i="58"/>
  <c r="D24" i="58"/>
  <c r="F22" i="58"/>
  <c r="D21" i="58"/>
  <c r="D20" i="58"/>
  <c r="D19" i="58"/>
  <c r="D18" i="58"/>
  <c r="D17" i="58"/>
  <c r="D16" i="58"/>
  <c r="E15" i="58"/>
  <c r="D15" i="58"/>
  <c r="E14" i="58"/>
  <c r="D14" i="58"/>
  <c r="E13" i="58"/>
  <c r="D13" i="58"/>
  <c r="E12" i="58"/>
  <c r="D12" i="58"/>
  <c r="E11" i="58"/>
  <c r="D11" i="58"/>
  <c r="E10" i="58"/>
  <c r="D10" i="58"/>
  <c r="E9" i="58"/>
  <c r="D9" i="58"/>
  <c r="E8" i="58"/>
  <c r="D8" i="58"/>
  <c r="E7" i="58"/>
  <c r="D7" i="58"/>
  <c r="E6" i="58"/>
  <c r="D6" i="58"/>
  <c r="E5" i="58"/>
  <c r="D5" i="58"/>
  <c r="E4" i="58"/>
  <c r="D4" i="58"/>
  <c r="F3" i="58"/>
  <c r="F64" i="58" s="1"/>
  <c r="E50" i="11" s="1"/>
  <c r="F50" i="11" s="1"/>
  <c r="F2" i="58"/>
  <c r="F62" i="57"/>
  <c r="F61" i="57"/>
  <c r="F60" i="57"/>
  <c r="F59" i="57"/>
  <c r="F58" i="57"/>
  <c r="F57" i="57"/>
  <c r="D56" i="57"/>
  <c r="E55" i="57"/>
  <c r="D55" i="57"/>
  <c r="E54" i="57"/>
  <c r="D54" i="57"/>
  <c r="E53" i="57"/>
  <c r="D53" i="57"/>
  <c r="F51" i="57"/>
  <c r="E50" i="57"/>
  <c r="D50" i="57"/>
  <c r="E49" i="57"/>
  <c r="D49" i="57"/>
  <c r="E48" i="57"/>
  <c r="D48" i="57"/>
  <c r="E47" i="57"/>
  <c r="D47" i="57"/>
  <c r="E46" i="57"/>
  <c r="D46" i="57"/>
  <c r="E45" i="57"/>
  <c r="D45" i="57"/>
  <c r="E44" i="57"/>
  <c r="D44" i="57"/>
  <c r="E43" i="57"/>
  <c r="D43" i="57"/>
  <c r="F41" i="57"/>
  <c r="D40" i="57"/>
  <c r="D39" i="57"/>
  <c r="D38" i="57"/>
  <c r="D37" i="57"/>
  <c r="D36" i="57"/>
  <c r="E35" i="57"/>
  <c r="D35" i="57"/>
  <c r="E34" i="57"/>
  <c r="D34" i="57"/>
  <c r="E33" i="57"/>
  <c r="D33" i="57"/>
  <c r="E32" i="57"/>
  <c r="D32" i="57"/>
  <c r="E31" i="57"/>
  <c r="D31" i="57"/>
  <c r="E30" i="57"/>
  <c r="D30" i="57"/>
  <c r="E29" i="57"/>
  <c r="D29" i="57"/>
  <c r="E28" i="57"/>
  <c r="D28" i="57"/>
  <c r="E27" i="57"/>
  <c r="D27" i="57"/>
  <c r="E26" i="57"/>
  <c r="D26" i="57"/>
  <c r="E25" i="57"/>
  <c r="D25" i="57"/>
  <c r="E24" i="57"/>
  <c r="D24" i="57"/>
  <c r="F22" i="57"/>
  <c r="D21" i="57"/>
  <c r="D20" i="57"/>
  <c r="D19" i="57"/>
  <c r="D18" i="57"/>
  <c r="D17" i="57"/>
  <c r="D16" i="57"/>
  <c r="E15" i="57"/>
  <c r="D15" i="57"/>
  <c r="E14" i="57"/>
  <c r="D14" i="57"/>
  <c r="E13" i="57"/>
  <c r="D13" i="57"/>
  <c r="E12" i="57"/>
  <c r="D12" i="57"/>
  <c r="E11" i="57"/>
  <c r="D11" i="57"/>
  <c r="E10" i="57"/>
  <c r="D10" i="57"/>
  <c r="E9" i="57"/>
  <c r="D9" i="57"/>
  <c r="E8" i="57"/>
  <c r="D8" i="57"/>
  <c r="E7" i="57"/>
  <c r="D7" i="57"/>
  <c r="E6" i="57"/>
  <c r="D6" i="57"/>
  <c r="E5" i="57"/>
  <c r="D5" i="57"/>
  <c r="E4" i="57"/>
  <c r="D4" i="57"/>
  <c r="F3" i="57"/>
  <c r="F63" i="57" s="1"/>
  <c r="E49" i="11" s="1"/>
  <c r="F49" i="11" s="1"/>
  <c r="F2" i="57"/>
  <c r="F62" i="56"/>
  <c r="F61" i="56"/>
  <c r="F60" i="56"/>
  <c r="F59" i="56"/>
  <c r="F58" i="56"/>
  <c r="F57" i="56"/>
  <c r="E56" i="56"/>
  <c r="D56" i="56"/>
  <c r="E55" i="56"/>
  <c r="D55" i="56"/>
  <c r="E54" i="56"/>
  <c r="D54" i="56"/>
  <c r="E53" i="56"/>
  <c r="D53" i="56"/>
  <c r="F51" i="56"/>
  <c r="E50" i="56"/>
  <c r="D50" i="56"/>
  <c r="E49" i="56"/>
  <c r="D49" i="56"/>
  <c r="E48" i="56"/>
  <c r="D48" i="56"/>
  <c r="E47" i="56"/>
  <c r="D47" i="56"/>
  <c r="E46" i="56"/>
  <c r="D46" i="56"/>
  <c r="E45" i="56"/>
  <c r="D45" i="56"/>
  <c r="E44" i="56"/>
  <c r="D44" i="56"/>
  <c r="E43" i="56"/>
  <c r="D43" i="56"/>
  <c r="F41" i="56"/>
  <c r="D40" i="56"/>
  <c r="D39" i="56"/>
  <c r="D38" i="56"/>
  <c r="D37" i="56"/>
  <c r="D36" i="56"/>
  <c r="E35" i="56"/>
  <c r="D35" i="56"/>
  <c r="E34" i="56"/>
  <c r="D34" i="56"/>
  <c r="E33" i="56"/>
  <c r="D33" i="56"/>
  <c r="E32" i="56"/>
  <c r="D32" i="56"/>
  <c r="E31" i="56"/>
  <c r="D31" i="56"/>
  <c r="E30" i="56"/>
  <c r="D30" i="56"/>
  <c r="E29" i="56"/>
  <c r="D29" i="56"/>
  <c r="E28" i="56"/>
  <c r="D28" i="56"/>
  <c r="E27" i="56"/>
  <c r="D27" i="56"/>
  <c r="E26" i="56"/>
  <c r="D26" i="56"/>
  <c r="E25" i="56"/>
  <c r="D25" i="56"/>
  <c r="E24" i="56"/>
  <c r="D24" i="56"/>
  <c r="F22" i="56"/>
  <c r="D21" i="56"/>
  <c r="D20" i="56"/>
  <c r="D19" i="56"/>
  <c r="D18" i="56"/>
  <c r="D17" i="56"/>
  <c r="D16" i="56"/>
  <c r="E15" i="56"/>
  <c r="D15" i="56"/>
  <c r="E14" i="56"/>
  <c r="D14" i="56"/>
  <c r="E13" i="56"/>
  <c r="D13" i="56"/>
  <c r="E12" i="56"/>
  <c r="D12" i="56"/>
  <c r="E11" i="56"/>
  <c r="D11" i="56"/>
  <c r="E10" i="56"/>
  <c r="D10" i="56"/>
  <c r="E9" i="56"/>
  <c r="D9" i="56"/>
  <c r="E8" i="56"/>
  <c r="D8" i="56"/>
  <c r="E7" i="56"/>
  <c r="D7" i="56"/>
  <c r="E6" i="56"/>
  <c r="D6" i="56"/>
  <c r="E5" i="56"/>
  <c r="D5" i="56"/>
  <c r="E4" i="56"/>
  <c r="D4" i="56"/>
  <c r="F3" i="56"/>
  <c r="F63" i="56" s="1"/>
  <c r="E48" i="11" s="1"/>
  <c r="F48" i="11" s="1"/>
  <c r="F2" i="56"/>
  <c r="F63" i="55"/>
  <c r="E47" i="11" s="1"/>
  <c r="F47" i="11" s="1"/>
  <c r="F62" i="55"/>
  <c r="F61" i="55"/>
  <c r="F60" i="55"/>
  <c r="F59" i="55"/>
  <c r="F58" i="55"/>
  <c r="F57" i="55"/>
  <c r="E56" i="55"/>
  <c r="D56" i="55"/>
  <c r="E55" i="55"/>
  <c r="D55" i="55"/>
  <c r="E54" i="55"/>
  <c r="D54" i="55"/>
  <c r="E53" i="55"/>
  <c r="D53" i="55"/>
  <c r="F51" i="55"/>
  <c r="E50" i="55"/>
  <c r="D50" i="55"/>
  <c r="E49" i="55"/>
  <c r="D49" i="55"/>
  <c r="E48" i="55"/>
  <c r="D48" i="55"/>
  <c r="E47" i="55"/>
  <c r="D47" i="55"/>
  <c r="E46" i="55"/>
  <c r="D46" i="55"/>
  <c r="E45" i="55"/>
  <c r="D45" i="55"/>
  <c r="E44" i="55"/>
  <c r="D44" i="55"/>
  <c r="E43" i="55"/>
  <c r="D43" i="55"/>
  <c r="F41" i="55"/>
  <c r="D40" i="55"/>
  <c r="D39" i="55"/>
  <c r="D38" i="55"/>
  <c r="D37" i="55"/>
  <c r="D36" i="55"/>
  <c r="E35" i="55"/>
  <c r="D35" i="55"/>
  <c r="E34" i="55"/>
  <c r="D34" i="55"/>
  <c r="E33" i="55"/>
  <c r="D33" i="55"/>
  <c r="E32" i="55"/>
  <c r="D32" i="55"/>
  <c r="E31" i="55"/>
  <c r="D31" i="55"/>
  <c r="E30" i="55"/>
  <c r="D30" i="55"/>
  <c r="E29" i="55"/>
  <c r="D29" i="55"/>
  <c r="E28" i="55"/>
  <c r="D28" i="55"/>
  <c r="E27" i="55"/>
  <c r="D27" i="55"/>
  <c r="E26" i="55"/>
  <c r="D26" i="55"/>
  <c r="E25" i="55"/>
  <c r="D25" i="55"/>
  <c r="E24" i="55"/>
  <c r="D24" i="55"/>
  <c r="F22" i="55"/>
  <c r="D21" i="55"/>
  <c r="D20" i="55"/>
  <c r="E19" i="55"/>
  <c r="D19" i="55"/>
  <c r="E18" i="55"/>
  <c r="D18" i="55"/>
  <c r="E17" i="55"/>
  <c r="D17" i="55"/>
  <c r="E16" i="55"/>
  <c r="D16" i="55"/>
  <c r="E15" i="55"/>
  <c r="D15" i="55"/>
  <c r="E14" i="55"/>
  <c r="D14" i="55"/>
  <c r="E13" i="55"/>
  <c r="D13" i="55"/>
  <c r="E12" i="55"/>
  <c r="D12" i="55"/>
  <c r="E11" i="55"/>
  <c r="D11" i="55"/>
  <c r="E10" i="55"/>
  <c r="D10" i="55"/>
  <c r="E9" i="55"/>
  <c r="D9" i="55"/>
  <c r="E8" i="55"/>
  <c r="D8" i="55"/>
  <c r="E7" i="55"/>
  <c r="D7" i="55"/>
  <c r="E6" i="55"/>
  <c r="D6" i="55"/>
  <c r="E5" i="55"/>
  <c r="D5" i="55"/>
  <c r="E4" i="55"/>
  <c r="D4" i="55"/>
  <c r="F3" i="55"/>
  <c r="F2" i="55"/>
  <c r="F47" i="54"/>
  <c r="F46" i="54"/>
  <c r="F45" i="54"/>
  <c r="F44" i="54"/>
  <c r="F43" i="54"/>
  <c r="F42" i="54"/>
  <c r="D41" i="54"/>
  <c r="F36" i="54"/>
  <c r="E35" i="54"/>
  <c r="D35" i="54"/>
  <c r="E34" i="54"/>
  <c r="D34" i="54"/>
  <c r="E33" i="54"/>
  <c r="D33" i="54"/>
  <c r="E32" i="54"/>
  <c r="D32" i="54"/>
  <c r="E31" i="54"/>
  <c r="D31" i="54"/>
  <c r="E30" i="54"/>
  <c r="D30" i="54"/>
  <c r="E29" i="54"/>
  <c r="D29" i="54"/>
  <c r="E28" i="54"/>
  <c r="D28" i="54"/>
  <c r="F26" i="54"/>
  <c r="D25" i="54"/>
  <c r="E24" i="54"/>
  <c r="D24" i="54"/>
  <c r="E23" i="54"/>
  <c r="D23" i="54"/>
  <c r="E22" i="54"/>
  <c r="D22" i="54"/>
  <c r="E21" i="54"/>
  <c r="D21" i="54"/>
  <c r="E20" i="54"/>
  <c r="D20" i="54"/>
  <c r="F18" i="54"/>
  <c r="D17" i="54"/>
  <c r="E16" i="54"/>
  <c r="D16" i="54"/>
  <c r="E15" i="54"/>
  <c r="D15" i="54"/>
  <c r="E14" i="54"/>
  <c r="D14" i="54"/>
  <c r="E13" i="54"/>
  <c r="D13" i="54"/>
  <c r="E12" i="54"/>
  <c r="D12" i="54"/>
  <c r="E11" i="54"/>
  <c r="D11" i="54"/>
  <c r="E10" i="54"/>
  <c r="D10" i="54"/>
  <c r="E9" i="54"/>
  <c r="D9" i="54"/>
  <c r="E8" i="54"/>
  <c r="D8" i="54"/>
  <c r="E7" i="54"/>
  <c r="D7" i="54"/>
  <c r="E6" i="54"/>
  <c r="D6" i="54"/>
  <c r="E5" i="54"/>
  <c r="D5" i="54"/>
  <c r="E4" i="54"/>
  <c r="D4" i="54"/>
  <c r="F3" i="54"/>
  <c r="F48" i="54" s="1"/>
  <c r="E46" i="11" s="1"/>
  <c r="F46" i="11" s="1"/>
  <c r="F2" i="54"/>
  <c r="F43" i="53"/>
  <c r="F42" i="53"/>
  <c r="F41" i="53"/>
  <c r="F40" i="53"/>
  <c r="F39" i="53"/>
  <c r="F38" i="53"/>
  <c r="E37" i="53"/>
  <c r="D37" i="53"/>
  <c r="E36" i="53"/>
  <c r="D36" i="53"/>
  <c r="E35" i="53"/>
  <c r="D35" i="53"/>
  <c r="E34" i="53"/>
  <c r="D34" i="53"/>
  <c r="F32" i="53"/>
  <c r="E31" i="53"/>
  <c r="D31" i="53"/>
  <c r="E30" i="53"/>
  <c r="D30" i="53"/>
  <c r="E29" i="53"/>
  <c r="D29" i="53"/>
  <c r="E28" i="53"/>
  <c r="D28" i="53"/>
  <c r="E27" i="53"/>
  <c r="D27" i="53"/>
  <c r="E26" i="53"/>
  <c r="D26" i="53"/>
  <c r="E25" i="53"/>
  <c r="D25" i="53"/>
  <c r="E24" i="53"/>
  <c r="D24" i="53"/>
  <c r="F22" i="53"/>
  <c r="D21" i="53"/>
  <c r="D20" i="53"/>
  <c r="E19" i="53"/>
  <c r="D19" i="53"/>
  <c r="E18" i="53"/>
  <c r="D18" i="53"/>
  <c r="E17" i="53"/>
  <c r="D17" i="53"/>
  <c r="E16" i="53"/>
  <c r="D16" i="53"/>
  <c r="E15" i="53"/>
  <c r="D15" i="53"/>
  <c r="E14" i="53"/>
  <c r="D14" i="53"/>
  <c r="F12" i="53"/>
  <c r="D11" i="53"/>
  <c r="E10" i="53"/>
  <c r="D10" i="53"/>
  <c r="E9" i="53"/>
  <c r="D9" i="53"/>
  <c r="E8" i="53"/>
  <c r="D8" i="53"/>
  <c r="E7" i="53"/>
  <c r="D7" i="53"/>
  <c r="E6" i="53"/>
  <c r="D6" i="53"/>
  <c r="E5" i="53"/>
  <c r="D5" i="53"/>
  <c r="E4" i="53"/>
  <c r="D4" i="53"/>
  <c r="F3" i="53"/>
  <c r="F44" i="53" s="1"/>
  <c r="E45" i="11" s="1"/>
  <c r="F45" i="11" s="1"/>
  <c r="F2" i="53"/>
  <c r="F63" i="52"/>
  <c r="E44" i="11" s="1"/>
  <c r="F44" i="11" s="1"/>
  <c r="F62" i="52"/>
  <c r="F61" i="52"/>
  <c r="F60" i="52"/>
  <c r="F59" i="52"/>
  <c r="F58" i="52"/>
  <c r="F57" i="52"/>
  <c r="D56" i="52"/>
  <c r="E55" i="52"/>
  <c r="D55" i="52"/>
  <c r="E54" i="52"/>
  <c r="D54" i="52"/>
  <c r="E53" i="52"/>
  <c r="D53" i="52"/>
  <c r="F51" i="52"/>
  <c r="E50" i="52"/>
  <c r="D50" i="52"/>
  <c r="E49" i="52"/>
  <c r="D49" i="52"/>
  <c r="E48" i="52"/>
  <c r="D48" i="52"/>
  <c r="E47" i="52"/>
  <c r="D47" i="52"/>
  <c r="E46" i="52"/>
  <c r="D46" i="52"/>
  <c r="E45" i="52"/>
  <c r="D45" i="52"/>
  <c r="E44" i="52"/>
  <c r="D44" i="52"/>
  <c r="E43" i="52"/>
  <c r="D43" i="52"/>
  <c r="F41" i="52"/>
  <c r="D40" i="52"/>
  <c r="D39" i="52"/>
  <c r="D38" i="52"/>
  <c r="D37" i="52"/>
  <c r="D36" i="52"/>
  <c r="E35" i="52"/>
  <c r="D35" i="52"/>
  <c r="E34" i="52"/>
  <c r="D34" i="52"/>
  <c r="E33" i="52"/>
  <c r="D33" i="52"/>
  <c r="E32" i="52"/>
  <c r="D32" i="52"/>
  <c r="E31" i="52"/>
  <c r="D31" i="52"/>
  <c r="E30" i="52"/>
  <c r="D30" i="52"/>
  <c r="E29" i="52"/>
  <c r="D29" i="52"/>
  <c r="E28" i="52"/>
  <c r="D28" i="52"/>
  <c r="E27" i="52"/>
  <c r="D27" i="52"/>
  <c r="E26" i="52"/>
  <c r="D26" i="52"/>
  <c r="E25" i="52"/>
  <c r="D25" i="52"/>
  <c r="E24" i="52"/>
  <c r="D24" i="52"/>
  <c r="F22" i="52"/>
  <c r="D21" i="52"/>
  <c r="D20" i="52"/>
  <c r="D19" i="52"/>
  <c r="D18" i="52"/>
  <c r="D17" i="52"/>
  <c r="D16" i="52"/>
  <c r="E15" i="52"/>
  <c r="D15" i="52"/>
  <c r="E14" i="52"/>
  <c r="D14" i="52"/>
  <c r="E13" i="52"/>
  <c r="D13" i="52"/>
  <c r="E12" i="52"/>
  <c r="D12" i="52"/>
  <c r="E11" i="52"/>
  <c r="D11" i="52"/>
  <c r="E10" i="52"/>
  <c r="D10" i="52"/>
  <c r="E9" i="52"/>
  <c r="D9" i="52"/>
  <c r="E8" i="52"/>
  <c r="D8" i="52"/>
  <c r="E7" i="52"/>
  <c r="D7" i="52"/>
  <c r="E6" i="52"/>
  <c r="D6" i="52"/>
  <c r="E5" i="52"/>
  <c r="D5" i="52"/>
  <c r="E4" i="52"/>
  <c r="D4" i="52"/>
  <c r="F3" i="52"/>
  <c r="F2" i="52"/>
  <c r="F75" i="51"/>
  <c r="E43" i="11" s="1"/>
  <c r="F43" i="11" s="1"/>
  <c r="F74" i="51"/>
  <c r="F73" i="51"/>
  <c r="F72" i="51"/>
  <c r="F71" i="51"/>
  <c r="F70" i="51"/>
  <c r="F69" i="51"/>
  <c r="E67" i="51"/>
  <c r="D67" i="51"/>
  <c r="E66" i="51"/>
  <c r="D66" i="51"/>
  <c r="E65" i="51"/>
  <c r="D65" i="51"/>
  <c r="F63" i="51"/>
  <c r="E62" i="51"/>
  <c r="D62" i="51"/>
  <c r="E61" i="51"/>
  <c r="D61" i="51"/>
  <c r="E60" i="51"/>
  <c r="D60" i="51"/>
  <c r="E59" i="51"/>
  <c r="D59" i="51"/>
  <c r="E58" i="51"/>
  <c r="D58" i="51"/>
  <c r="E57" i="51"/>
  <c r="D57" i="51"/>
  <c r="E56" i="51"/>
  <c r="D56" i="51"/>
  <c r="E55" i="51"/>
  <c r="D55" i="51"/>
  <c r="E54" i="51"/>
  <c r="D54" i="51"/>
  <c r="F52" i="51"/>
  <c r="E51" i="51"/>
  <c r="D51" i="51"/>
  <c r="E50" i="51"/>
  <c r="D50" i="51"/>
  <c r="E49" i="51"/>
  <c r="D49" i="51"/>
  <c r="E48" i="51"/>
  <c r="D48" i="51"/>
  <c r="E47" i="51"/>
  <c r="D47" i="51"/>
  <c r="E46" i="51"/>
  <c r="D46" i="51"/>
  <c r="E45" i="51"/>
  <c r="D45" i="51"/>
  <c r="E44" i="51"/>
  <c r="D44" i="51"/>
  <c r="E43" i="51"/>
  <c r="D43" i="51"/>
  <c r="E42" i="51"/>
  <c r="D42" i="51"/>
  <c r="E41" i="51"/>
  <c r="D41" i="51"/>
  <c r="E40" i="51"/>
  <c r="D40" i="51"/>
  <c r="E39" i="51"/>
  <c r="D39" i="51"/>
  <c r="E38" i="51"/>
  <c r="D38" i="51"/>
  <c r="E37" i="51"/>
  <c r="D37" i="51"/>
  <c r="E36" i="51"/>
  <c r="D36" i="51"/>
  <c r="E35" i="51"/>
  <c r="D35" i="51"/>
  <c r="E34" i="51"/>
  <c r="D34" i="51"/>
  <c r="E33" i="51"/>
  <c r="D33" i="51"/>
  <c r="F31" i="51"/>
  <c r="E30" i="51"/>
  <c r="D30" i="51"/>
  <c r="E29" i="51"/>
  <c r="D29" i="51"/>
  <c r="E28" i="51"/>
  <c r="D28" i="51"/>
  <c r="E27" i="51"/>
  <c r="D27" i="51"/>
  <c r="E26" i="51"/>
  <c r="D26" i="51"/>
  <c r="E25" i="51"/>
  <c r="D25" i="51"/>
  <c r="E24" i="51"/>
  <c r="D24" i="51"/>
  <c r="E23" i="51"/>
  <c r="D23" i="51"/>
  <c r="E22" i="51"/>
  <c r="D22" i="51"/>
  <c r="E21" i="51"/>
  <c r="D21" i="51"/>
  <c r="E20" i="51"/>
  <c r="D20" i="51"/>
  <c r="E19" i="51"/>
  <c r="D19" i="51"/>
  <c r="E18" i="51"/>
  <c r="D18" i="51"/>
  <c r="E17" i="51"/>
  <c r="D17" i="51"/>
  <c r="E16" i="51"/>
  <c r="D16" i="51"/>
  <c r="E15" i="51"/>
  <c r="D15" i="51"/>
  <c r="E14" i="51"/>
  <c r="D14" i="51"/>
  <c r="E13" i="51"/>
  <c r="D13" i="51"/>
  <c r="E12" i="51"/>
  <c r="D12" i="51"/>
  <c r="E11" i="51"/>
  <c r="D11" i="51"/>
  <c r="E10" i="51"/>
  <c r="D10" i="51"/>
  <c r="E9" i="51"/>
  <c r="D9" i="51"/>
  <c r="E8" i="51"/>
  <c r="D8" i="51"/>
  <c r="E7" i="51"/>
  <c r="D7" i="51"/>
  <c r="E6" i="51"/>
  <c r="D6" i="51"/>
  <c r="E5" i="51"/>
  <c r="D5" i="51"/>
  <c r="E4" i="51"/>
  <c r="D4" i="51"/>
  <c r="F3" i="51"/>
  <c r="F2" i="51"/>
  <c r="F64" i="50"/>
  <c r="F63" i="50"/>
  <c r="F62" i="50"/>
  <c r="F61" i="50"/>
  <c r="F60" i="50"/>
  <c r="F59" i="50"/>
  <c r="D58" i="50"/>
  <c r="D57" i="50"/>
  <c r="E56" i="50"/>
  <c r="D56" i="50"/>
  <c r="E55" i="50"/>
  <c r="D55" i="50"/>
  <c r="F53" i="50"/>
  <c r="E52" i="50"/>
  <c r="D52" i="50"/>
  <c r="E51" i="50"/>
  <c r="D51" i="50"/>
  <c r="E50" i="50"/>
  <c r="D50" i="50"/>
  <c r="E49" i="50"/>
  <c r="D49" i="50"/>
  <c r="E48" i="50"/>
  <c r="D48" i="50"/>
  <c r="E47" i="50"/>
  <c r="D47" i="50"/>
  <c r="E46" i="50"/>
  <c r="D46" i="50"/>
  <c r="E45" i="50"/>
  <c r="D45" i="50"/>
  <c r="F43" i="50"/>
  <c r="E42" i="50"/>
  <c r="D42" i="50"/>
  <c r="E40" i="50"/>
  <c r="D40" i="50"/>
  <c r="E39" i="50"/>
  <c r="D39" i="50"/>
  <c r="E38" i="50"/>
  <c r="D38" i="50"/>
  <c r="E37" i="50"/>
  <c r="D37" i="50"/>
  <c r="E36" i="50"/>
  <c r="D36" i="50"/>
  <c r="E35" i="50"/>
  <c r="D35" i="50"/>
  <c r="E34" i="50"/>
  <c r="D34" i="50"/>
  <c r="E33" i="50"/>
  <c r="D33" i="50"/>
  <c r="E32" i="50"/>
  <c r="D32" i="50"/>
  <c r="E31" i="50"/>
  <c r="D31" i="50"/>
  <c r="E30" i="50"/>
  <c r="D30" i="50"/>
  <c r="E29" i="50"/>
  <c r="D29" i="50"/>
  <c r="E28" i="50"/>
  <c r="D28" i="50"/>
  <c r="E27" i="50"/>
  <c r="D27" i="50"/>
  <c r="E26" i="50"/>
  <c r="D26" i="50"/>
  <c r="E25" i="50"/>
  <c r="D25" i="50"/>
  <c r="E24" i="50"/>
  <c r="D24" i="50"/>
  <c r="F22" i="50"/>
  <c r="E21" i="50"/>
  <c r="D21" i="50"/>
  <c r="E20" i="50"/>
  <c r="D20" i="50"/>
  <c r="E19" i="50"/>
  <c r="D19" i="50"/>
  <c r="E18" i="50"/>
  <c r="D18" i="50"/>
  <c r="E17" i="50"/>
  <c r="D17" i="50"/>
  <c r="E16" i="50"/>
  <c r="D16" i="50"/>
  <c r="E15" i="50"/>
  <c r="D15" i="50"/>
  <c r="E14" i="50"/>
  <c r="D14" i="50"/>
  <c r="E13" i="50"/>
  <c r="D13" i="50"/>
  <c r="E12" i="50"/>
  <c r="D12" i="50"/>
  <c r="E11" i="50"/>
  <c r="D11" i="50"/>
  <c r="E10" i="50"/>
  <c r="D10" i="50"/>
  <c r="E9" i="50"/>
  <c r="D9" i="50"/>
  <c r="E8" i="50"/>
  <c r="D8" i="50"/>
  <c r="E7" i="50"/>
  <c r="D7" i="50"/>
  <c r="E6" i="50"/>
  <c r="D6" i="50"/>
  <c r="E5" i="50"/>
  <c r="D5" i="50"/>
  <c r="E4" i="50"/>
  <c r="D4" i="50"/>
  <c r="F3" i="50"/>
  <c r="F65" i="50" s="1"/>
  <c r="E42" i="11" s="1"/>
  <c r="F42" i="11" s="1"/>
  <c r="F2" i="50"/>
  <c r="F62" i="49"/>
  <c r="F61" i="49"/>
  <c r="F60" i="49"/>
  <c r="F59" i="49"/>
  <c r="F58" i="49"/>
  <c r="F57" i="49"/>
  <c r="E56" i="49"/>
  <c r="D56" i="49"/>
  <c r="E55" i="49"/>
  <c r="D55" i="49"/>
  <c r="E54" i="49"/>
  <c r="D54" i="49"/>
  <c r="E53" i="49"/>
  <c r="D53" i="49"/>
  <c r="F51" i="49"/>
  <c r="E50" i="49"/>
  <c r="D50" i="49"/>
  <c r="E49" i="49"/>
  <c r="D49" i="49"/>
  <c r="E48" i="49"/>
  <c r="D48" i="49"/>
  <c r="E47" i="49"/>
  <c r="D47" i="49"/>
  <c r="E46" i="49"/>
  <c r="D46" i="49"/>
  <c r="E45" i="49"/>
  <c r="D45" i="49"/>
  <c r="E44" i="49"/>
  <c r="D44" i="49"/>
  <c r="E43" i="49"/>
  <c r="D43" i="49"/>
  <c r="F41" i="49"/>
  <c r="D40" i="49"/>
  <c r="D39" i="49"/>
  <c r="D38" i="49"/>
  <c r="D37" i="49"/>
  <c r="D36" i="49"/>
  <c r="E35" i="49"/>
  <c r="D35" i="49"/>
  <c r="E34" i="49"/>
  <c r="D34" i="49"/>
  <c r="E33" i="49"/>
  <c r="D33" i="49"/>
  <c r="E32" i="49"/>
  <c r="D32" i="49"/>
  <c r="E31" i="49"/>
  <c r="D31" i="49"/>
  <c r="E30" i="49"/>
  <c r="D30" i="49"/>
  <c r="E29" i="49"/>
  <c r="D29" i="49"/>
  <c r="E28" i="49"/>
  <c r="D28" i="49"/>
  <c r="E27" i="49"/>
  <c r="D27" i="49"/>
  <c r="E26" i="49"/>
  <c r="D26" i="49"/>
  <c r="E25" i="49"/>
  <c r="D25" i="49"/>
  <c r="E24" i="49"/>
  <c r="D24" i="49"/>
  <c r="F22" i="49"/>
  <c r="D21" i="49"/>
  <c r="D20" i="49"/>
  <c r="D19" i="49"/>
  <c r="D18" i="49"/>
  <c r="D17" i="49"/>
  <c r="D16" i="49"/>
  <c r="E15" i="49"/>
  <c r="D15" i="49"/>
  <c r="E14" i="49"/>
  <c r="D14" i="49"/>
  <c r="E13" i="49"/>
  <c r="D13" i="49"/>
  <c r="E12" i="49"/>
  <c r="D12" i="49"/>
  <c r="E11" i="49"/>
  <c r="D11" i="49"/>
  <c r="E10" i="49"/>
  <c r="D10" i="49"/>
  <c r="E9" i="49"/>
  <c r="D9" i="49"/>
  <c r="E8" i="49"/>
  <c r="D8" i="49"/>
  <c r="E7" i="49"/>
  <c r="D7" i="49"/>
  <c r="E6" i="49"/>
  <c r="D6" i="49"/>
  <c r="E5" i="49"/>
  <c r="D5" i="49"/>
  <c r="E4" i="49"/>
  <c r="D4" i="49"/>
  <c r="F3" i="49"/>
  <c r="F63" i="49" s="1"/>
  <c r="E41" i="11" s="1"/>
  <c r="F41" i="11" s="1"/>
  <c r="F2" i="49"/>
  <c r="F57" i="48"/>
  <c r="D56" i="48"/>
  <c r="D55" i="48"/>
  <c r="E54" i="48"/>
  <c r="D54" i="48"/>
  <c r="E53" i="48"/>
  <c r="D53" i="48"/>
  <c r="D50" i="48"/>
  <c r="E50" i="48" s="1"/>
  <c r="F41" i="48"/>
  <c r="D40" i="48"/>
  <c r="D39" i="48"/>
  <c r="D38" i="48"/>
  <c r="D37" i="48"/>
  <c r="D36" i="48"/>
  <c r="E35" i="48"/>
  <c r="D35" i="48"/>
  <c r="E34" i="48"/>
  <c r="D34" i="48"/>
  <c r="E33" i="48"/>
  <c r="D33" i="48"/>
  <c r="E32" i="48"/>
  <c r="D32" i="48"/>
  <c r="E31" i="48"/>
  <c r="D31" i="48"/>
  <c r="E30" i="48"/>
  <c r="D30" i="48"/>
  <c r="E29" i="48"/>
  <c r="D29" i="48"/>
  <c r="E28" i="48"/>
  <c r="D28" i="48"/>
  <c r="E27" i="48"/>
  <c r="D27" i="48"/>
  <c r="E26" i="48"/>
  <c r="D26" i="48"/>
  <c r="E25" i="48"/>
  <c r="D25" i="48"/>
  <c r="E24" i="48"/>
  <c r="D24" i="48"/>
  <c r="F22" i="48"/>
  <c r="D21" i="48"/>
  <c r="D20" i="48"/>
  <c r="D19" i="48"/>
  <c r="D18" i="48"/>
  <c r="D17" i="48"/>
  <c r="D16" i="48"/>
  <c r="E15" i="48"/>
  <c r="D15" i="48"/>
  <c r="E14" i="48"/>
  <c r="D14" i="48"/>
  <c r="E13" i="48"/>
  <c r="D13" i="48"/>
  <c r="E12" i="48"/>
  <c r="D12" i="48"/>
  <c r="E11" i="48"/>
  <c r="D11" i="48"/>
  <c r="E10" i="48"/>
  <c r="D10" i="48"/>
  <c r="E9" i="48"/>
  <c r="D9" i="48"/>
  <c r="E8" i="48"/>
  <c r="D8" i="48"/>
  <c r="E7" i="48"/>
  <c r="D7" i="48"/>
  <c r="E6" i="48"/>
  <c r="D6" i="48"/>
  <c r="E5" i="48"/>
  <c r="D5" i="48"/>
  <c r="E4" i="48"/>
  <c r="D4" i="48"/>
  <c r="F57" i="47"/>
  <c r="D56" i="47"/>
  <c r="D55" i="47"/>
  <c r="E54" i="47"/>
  <c r="D54" i="47"/>
  <c r="E53" i="47"/>
  <c r="D53" i="47"/>
  <c r="D50" i="47"/>
  <c r="E50" i="47" s="1"/>
  <c r="F41" i="47"/>
  <c r="D40" i="47"/>
  <c r="D39" i="47"/>
  <c r="D38" i="47"/>
  <c r="D37" i="47"/>
  <c r="D36" i="47"/>
  <c r="E35" i="47"/>
  <c r="D35" i="47"/>
  <c r="E34" i="47"/>
  <c r="D34" i="47"/>
  <c r="E33" i="47"/>
  <c r="D33" i="47"/>
  <c r="E32" i="47"/>
  <c r="D32" i="47"/>
  <c r="E31" i="47"/>
  <c r="D31" i="47"/>
  <c r="E30" i="47"/>
  <c r="D30" i="47"/>
  <c r="E29" i="47"/>
  <c r="D29" i="47"/>
  <c r="E28" i="47"/>
  <c r="D28" i="47"/>
  <c r="E27" i="47"/>
  <c r="D27" i="47"/>
  <c r="E26" i="47"/>
  <c r="D26" i="47"/>
  <c r="E25" i="47"/>
  <c r="D25" i="47"/>
  <c r="E24" i="47"/>
  <c r="D24" i="47"/>
  <c r="F22" i="47"/>
  <c r="D21" i="47"/>
  <c r="D20" i="47"/>
  <c r="D19" i="47"/>
  <c r="D18" i="47"/>
  <c r="D17" i="47"/>
  <c r="D16" i="47"/>
  <c r="E15" i="47"/>
  <c r="D15" i="47"/>
  <c r="E14" i="47"/>
  <c r="D14" i="47"/>
  <c r="E13" i="47"/>
  <c r="D13" i="47"/>
  <c r="E12" i="47"/>
  <c r="D12" i="47"/>
  <c r="E11" i="47"/>
  <c r="D11" i="47"/>
  <c r="E10" i="47"/>
  <c r="D10" i="47"/>
  <c r="E9" i="47"/>
  <c r="D9" i="47"/>
  <c r="E8" i="47"/>
  <c r="D8" i="47"/>
  <c r="E7" i="47"/>
  <c r="D7" i="47"/>
  <c r="E6" i="47"/>
  <c r="D6" i="47"/>
  <c r="E5" i="47"/>
  <c r="D5" i="47"/>
  <c r="E4" i="47"/>
  <c r="D4" i="47"/>
  <c r="F56" i="46"/>
  <c r="E55" i="46"/>
  <c r="D55" i="46"/>
  <c r="E54" i="46"/>
  <c r="D54" i="46"/>
  <c r="E53" i="46"/>
  <c r="D53" i="46"/>
  <c r="E52" i="46"/>
  <c r="F40" i="46"/>
  <c r="D39" i="46"/>
  <c r="D38" i="46"/>
  <c r="D37" i="46"/>
  <c r="E36" i="46"/>
  <c r="D36" i="46"/>
  <c r="E35" i="46"/>
  <c r="D35" i="46"/>
  <c r="E34" i="46"/>
  <c r="D34" i="46"/>
  <c r="E33" i="46"/>
  <c r="D33" i="46"/>
  <c r="E32" i="46"/>
  <c r="D32" i="46"/>
  <c r="E31" i="46"/>
  <c r="D31" i="46"/>
  <c r="E30" i="46"/>
  <c r="D30" i="46"/>
  <c r="E29" i="46"/>
  <c r="D29" i="46"/>
  <c r="E28" i="46"/>
  <c r="D28" i="46"/>
  <c r="E27" i="46"/>
  <c r="D27" i="46"/>
  <c r="E26" i="46"/>
  <c r="D26" i="46"/>
  <c r="E25" i="46"/>
  <c r="D25" i="46"/>
  <c r="E24" i="46"/>
  <c r="D24" i="46"/>
  <c r="E23" i="46"/>
  <c r="D23" i="46"/>
  <c r="F21" i="46"/>
  <c r="D20" i="46"/>
  <c r="D19" i="46"/>
  <c r="D18" i="46"/>
  <c r="D17" i="46"/>
  <c r="D16" i="46"/>
  <c r="D15" i="46"/>
  <c r="E14" i="46"/>
  <c r="D14" i="46"/>
  <c r="E13" i="46"/>
  <c r="D13" i="46"/>
  <c r="E12" i="46"/>
  <c r="D12" i="46"/>
  <c r="E11" i="46"/>
  <c r="D11" i="46"/>
  <c r="E10" i="46"/>
  <c r="D10" i="46"/>
  <c r="E9" i="46"/>
  <c r="D9" i="46"/>
  <c r="E8" i="46"/>
  <c r="D8" i="46"/>
  <c r="E7" i="46"/>
  <c r="D7" i="46"/>
  <c r="E6" i="46"/>
  <c r="D6" i="46"/>
  <c r="E5" i="46"/>
  <c r="D5" i="46"/>
  <c r="E4" i="46"/>
  <c r="D4" i="46"/>
  <c r="F54" i="45"/>
  <c r="E53" i="45"/>
  <c r="D53" i="45"/>
  <c r="E52" i="45"/>
  <c r="D52" i="45"/>
  <c r="E51" i="45"/>
  <c r="D51" i="45"/>
  <c r="E50" i="45"/>
  <c r="D50" i="45"/>
  <c r="F37" i="45"/>
  <c r="D36" i="45"/>
  <c r="D35" i="45"/>
  <c r="D34" i="45"/>
  <c r="D33" i="45"/>
  <c r="D32" i="45"/>
  <c r="E31" i="45"/>
  <c r="D31" i="45"/>
  <c r="E30" i="45"/>
  <c r="D30" i="45"/>
  <c r="E29" i="45"/>
  <c r="D29" i="45"/>
  <c r="E28" i="45"/>
  <c r="D28" i="45"/>
  <c r="E27" i="45"/>
  <c r="D27" i="45"/>
  <c r="E26" i="45"/>
  <c r="D26" i="45"/>
  <c r="E25" i="45"/>
  <c r="D25" i="45"/>
  <c r="E24" i="45"/>
  <c r="D24" i="45"/>
  <c r="E23" i="45"/>
  <c r="D23" i="45"/>
  <c r="E22" i="45"/>
  <c r="D22" i="45"/>
  <c r="E21" i="45"/>
  <c r="D21" i="45"/>
  <c r="E20" i="45"/>
  <c r="D20" i="45"/>
  <c r="F18" i="45"/>
  <c r="D17" i="45"/>
  <c r="D16" i="45"/>
  <c r="D15" i="45"/>
  <c r="D14" i="45"/>
  <c r="D13" i="45"/>
  <c r="D12" i="45"/>
  <c r="E11" i="45"/>
  <c r="D11" i="45"/>
  <c r="E10" i="45"/>
  <c r="D10" i="45"/>
  <c r="E9" i="45"/>
  <c r="D9" i="45"/>
  <c r="E8" i="45"/>
  <c r="D8" i="45"/>
  <c r="E7" i="45"/>
  <c r="D7" i="45"/>
  <c r="E6" i="45"/>
  <c r="D6" i="45"/>
  <c r="E5" i="45"/>
  <c r="D5" i="45"/>
  <c r="E4" i="45"/>
  <c r="D4" i="45"/>
  <c r="F57" i="44"/>
  <c r="E56" i="44"/>
  <c r="D56" i="44"/>
  <c r="E55" i="44"/>
  <c r="D55" i="44"/>
  <c r="E54" i="44"/>
  <c r="D54" i="44"/>
  <c r="F41" i="44"/>
  <c r="D40" i="44"/>
  <c r="D39" i="44"/>
  <c r="D38" i="44"/>
  <c r="D37" i="44"/>
  <c r="D36" i="44"/>
  <c r="E35" i="44"/>
  <c r="D35" i="44"/>
  <c r="E34" i="44"/>
  <c r="D34" i="44"/>
  <c r="E33" i="44"/>
  <c r="D33" i="44"/>
  <c r="E32" i="44"/>
  <c r="D32" i="44"/>
  <c r="E31" i="44"/>
  <c r="D31" i="44"/>
  <c r="E30" i="44"/>
  <c r="D30" i="44"/>
  <c r="E29" i="44"/>
  <c r="D29" i="44"/>
  <c r="E28" i="44"/>
  <c r="D28" i="44"/>
  <c r="E27" i="44"/>
  <c r="D27" i="44"/>
  <c r="E26" i="44"/>
  <c r="D26" i="44"/>
  <c r="E25" i="44"/>
  <c r="D25" i="44"/>
  <c r="E24" i="44"/>
  <c r="D24" i="44"/>
  <c r="F22" i="44"/>
  <c r="D21" i="44"/>
  <c r="D20" i="44"/>
  <c r="D19" i="44"/>
  <c r="E18" i="44"/>
  <c r="D18" i="44"/>
  <c r="E17" i="44"/>
  <c r="D17" i="44"/>
  <c r="E16" i="44"/>
  <c r="D16" i="44"/>
  <c r="E15" i="44"/>
  <c r="D15" i="44"/>
  <c r="E14" i="44"/>
  <c r="D14" i="44"/>
  <c r="E13" i="44"/>
  <c r="D13" i="44"/>
  <c r="E12" i="44"/>
  <c r="D12" i="44"/>
  <c r="E11" i="44"/>
  <c r="D11" i="44"/>
  <c r="E10" i="44"/>
  <c r="D10" i="44"/>
  <c r="E9" i="44"/>
  <c r="D9" i="44"/>
  <c r="E8" i="44"/>
  <c r="D8" i="44"/>
  <c r="E7" i="44"/>
  <c r="D7" i="44"/>
  <c r="E6" i="44"/>
  <c r="D6" i="44"/>
  <c r="E5" i="44"/>
  <c r="D5" i="44"/>
  <c r="E4" i="44"/>
  <c r="D4" i="44"/>
  <c r="F45" i="42"/>
  <c r="D44" i="42"/>
  <c r="E43" i="42"/>
  <c r="D43" i="42"/>
  <c r="E42" i="42"/>
  <c r="D42" i="42"/>
  <c r="E41" i="42"/>
  <c r="D41" i="42"/>
  <c r="F29" i="42"/>
  <c r="D28" i="42"/>
  <c r="D27" i="42"/>
  <c r="E26" i="42"/>
  <c r="D26" i="42"/>
  <c r="E25" i="42"/>
  <c r="D25" i="42"/>
  <c r="E24" i="42"/>
  <c r="D24" i="42"/>
  <c r="E23" i="42"/>
  <c r="D23" i="42"/>
  <c r="E22" i="42"/>
  <c r="D22" i="42"/>
  <c r="E21" i="42"/>
  <c r="D21" i="42"/>
  <c r="F19" i="42"/>
  <c r="D18" i="42"/>
  <c r="D17" i="42"/>
  <c r="D16" i="42"/>
  <c r="D15" i="42"/>
  <c r="D14" i="42"/>
  <c r="D13" i="42"/>
  <c r="E12" i="42"/>
  <c r="D12" i="42"/>
  <c r="E11" i="42"/>
  <c r="D11" i="42"/>
  <c r="E10" i="42"/>
  <c r="D10" i="42"/>
  <c r="E9" i="42"/>
  <c r="D9" i="42"/>
  <c r="E8" i="42"/>
  <c r="D8" i="42"/>
  <c r="E7" i="42"/>
  <c r="D7" i="42"/>
  <c r="E6" i="42"/>
  <c r="D6" i="42"/>
  <c r="E5" i="42"/>
  <c r="D5" i="42"/>
  <c r="E4" i="42"/>
  <c r="D4" i="42"/>
  <c r="F43" i="41"/>
  <c r="D42" i="41"/>
  <c r="E41" i="41"/>
  <c r="D41" i="41"/>
  <c r="E40" i="41"/>
  <c r="D40" i="41"/>
  <c r="E39" i="41"/>
  <c r="D39" i="41"/>
  <c r="F27" i="41"/>
  <c r="D26" i="41"/>
  <c r="E25" i="41"/>
  <c r="D25" i="41"/>
  <c r="E24" i="41"/>
  <c r="D24" i="41"/>
  <c r="E23" i="41"/>
  <c r="D23" i="41"/>
  <c r="E22" i="41"/>
  <c r="D22" i="41"/>
  <c r="E21" i="41"/>
  <c r="D21" i="41"/>
  <c r="E20" i="41"/>
  <c r="D20" i="41"/>
  <c r="E19" i="41"/>
  <c r="D19" i="41"/>
  <c r="E18" i="41"/>
  <c r="D18" i="41"/>
  <c r="F15" i="41"/>
  <c r="E14" i="41"/>
  <c r="D14" i="41"/>
  <c r="E13" i="41"/>
  <c r="D13" i="41"/>
  <c r="E12" i="41"/>
  <c r="D12" i="41"/>
  <c r="E11" i="41"/>
  <c r="D11" i="41"/>
  <c r="E10" i="41"/>
  <c r="D10" i="41"/>
  <c r="E9" i="41"/>
  <c r="E8" i="41"/>
  <c r="D8" i="41"/>
  <c r="E7" i="41"/>
  <c r="D7" i="41"/>
  <c r="E6" i="41"/>
  <c r="D6" i="41"/>
  <c r="E5" i="41"/>
  <c r="D5" i="41"/>
  <c r="E4" i="41"/>
  <c r="D4" i="41"/>
  <c r="F33" i="40"/>
  <c r="D32" i="40"/>
  <c r="D31" i="40"/>
  <c r="E30" i="40"/>
  <c r="D30" i="40"/>
  <c r="E29" i="40"/>
  <c r="D29" i="40"/>
  <c r="D26" i="40"/>
  <c r="E26" i="40" s="1"/>
  <c r="F17" i="40"/>
  <c r="E16" i="40"/>
  <c r="D16" i="40"/>
  <c r="E15" i="40"/>
  <c r="D15" i="40"/>
  <c r="E14" i="40"/>
  <c r="D14" i="40"/>
  <c r="E13" i="40"/>
  <c r="D13" i="40"/>
  <c r="F11" i="40"/>
  <c r="D10" i="40"/>
  <c r="D9" i="40"/>
  <c r="D8" i="40"/>
  <c r="D7" i="40"/>
  <c r="E6" i="40"/>
  <c r="D6" i="40"/>
  <c r="E5" i="40"/>
  <c r="D5" i="40"/>
  <c r="E4" i="40"/>
  <c r="D4" i="40"/>
  <c r="F39" i="39"/>
  <c r="D38" i="39"/>
  <c r="D37" i="39"/>
  <c r="E36" i="39"/>
  <c r="D36" i="39"/>
  <c r="E35" i="39"/>
  <c r="D35" i="39"/>
  <c r="F23" i="39"/>
  <c r="D22" i="39"/>
  <c r="D21" i="39"/>
  <c r="D20" i="39"/>
  <c r="D19" i="39"/>
  <c r="D18" i="39"/>
  <c r="E17" i="39"/>
  <c r="D17" i="39"/>
  <c r="E16" i="39"/>
  <c r="D16" i="39"/>
  <c r="E15" i="39"/>
  <c r="D15" i="39"/>
  <c r="E14" i="39"/>
  <c r="D14" i="39"/>
  <c r="E13" i="39"/>
  <c r="D13" i="39"/>
  <c r="E12" i="39"/>
  <c r="D12" i="39"/>
  <c r="E11" i="39"/>
  <c r="D11" i="39"/>
  <c r="F9" i="39"/>
  <c r="D8" i="39"/>
  <c r="D7" i="39"/>
  <c r="E5" i="39"/>
  <c r="D5" i="39"/>
  <c r="E4" i="39"/>
  <c r="D4" i="39"/>
  <c r="E3" i="39"/>
  <c r="D3" i="39"/>
  <c r="F54" i="38"/>
  <c r="D53" i="38"/>
  <c r="E51" i="38"/>
  <c r="D51" i="38"/>
  <c r="E50" i="38"/>
  <c r="D50" i="38"/>
  <c r="F38" i="38"/>
  <c r="E37" i="38"/>
  <c r="D37" i="38"/>
  <c r="E36" i="38"/>
  <c r="D36" i="38"/>
  <c r="E35" i="38"/>
  <c r="D35" i="38"/>
  <c r="E34" i="38"/>
  <c r="D34" i="38"/>
  <c r="E33" i="38"/>
  <c r="E32" i="38"/>
  <c r="D32" i="38"/>
  <c r="E31" i="38"/>
  <c r="D31" i="38"/>
  <c r="E30" i="38"/>
  <c r="D30" i="38"/>
  <c r="E29" i="38"/>
  <c r="D29" i="38"/>
  <c r="E28" i="38"/>
  <c r="D28" i="38"/>
  <c r="E27" i="38"/>
  <c r="D27" i="38"/>
  <c r="E26" i="38"/>
  <c r="D26" i="38"/>
  <c r="E25" i="38"/>
  <c r="D25" i="38"/>
  <c r="E24" i="38"/>
  <c r="D24" i="38"/>
  <c r="E23" i="38"/>
  <c r="D23" i="38"/>
  <c r="E22" i="38"/>
  <c r="D22" i="38"/>
  <c r="E21" i="38"/>
  <c r="D21" i="38"/>
  <c r="F19" i="38"/>
  <c r="E18" i="38"/>
  <c r="D18" i="38"/>
  <c r="E17" i="38"/>
  <c r="D17" i="38"/>
  <c r="E16" i="38"/>
  <c r="D16" i="38"/>
  <c r="E15" i="38"/>
  <c r="D15" i="38"/>
  <c r="E14" i="38"/>
  <c r="D14" i="38"/>
  <c r="E13" i="38"/>
  <c r="D13" i="38"/>
  <c r="E12" i="38"/>
  <c r="D12" i="38"/>
  <c r="E11" i="38"/>
  <c r="D11" i="38"/>
  <c r="E10" i="38"/>
  <c r="D10" i="38"/>
  <c r="E9" i="38"/>
  <c r="D9" i="38"/>
  <c r="E8" i="38"/>
  <c r="D8" i="38"/>
  <c r="E7" i="38"/>
  <c r="D7" i="38"/>
  <c r="E6" i="38"/>
  <c r="D6" i="38"/>
  <c r="E5" i="38"/>
  <c r="D5" i="38"/>
  <c r="E4" i="38"/>
  <c r="D4" i="38"/>
  <c r="F47" i="37"/>
  <c r="D46" i="37"/>
  <c r="E45" i="37"/>
  <c r="D45" i="37"/>
  <c r="E44" i="37"/>
  <c r="D44" i="37"/>
  <c r="F32" i="37"/>
  <c r="E31" i="37"/>
  <c r="D31" i="37"/>
  <c r="E30" i="37"/>
  <c r="D30" i="37"/>
  <c r="E29" i="37"/>
  <c r="D29" i="37"/>
  <c r="E28" i="37"/>
  <c r="D28" i="37"/>
  <c r="E27" i="37"/>
  <c r="D27" i="37"/>
  <c r="E26" i="37"/>
  <c r="D26" i="37"/>
  <c r="E25" i="37"/>
  <c r="D25" i="37"/>
  <c r="E24" i="37"/>
  <c r="D24" i="37"/>
  <c r="E23" i="37"/>
  <c r="D23" i="37"/>
  <c r="E22" i="37"/>
  <c r="D22" i="37"/>
  <c r="E21" i="37"/>
  <c r="D21" i="37"/>
  <c r="E20" i="37"/>
  <c r="D20" i="37"/>
  <c r="F18" i="37"/>
  <c r="E17" i="37"/>
  <c r="D17" i="37"/>
  <c r="E16" i="37"/>
  <c r="D16" i="37"/>
  <c r="E15" i="37"/>
  <c r="D15" i="37"/>
  <c r="E14" i="37"/>
  <c r="D14" i="37"/>
  <c r="E13" i="37"/>
  <c r="D13" i="37"/>
  <c r="E12" i="37"/>
  <c r="D12" i="37"/>
  <c r="E11" i="37"/>
  <c r="D11" i="37"/>
  <c r="E10" i="37"/>
  <c r="D10" i="37"/>
  <c r="E9" i="37"/>
  <c r="D9" i="37"/>
  <c r="E8" i="37"/>
  <c r="D8" i="37"/>
  <c r="E7" i="37"/>
  <c r="D7" i="37"/>
  <c r="E6" i="37"/>
  <c r="D6" i="37"/>
  <c r="E5" i="37"/>
  <c r="D5" i="37"/>
  <c r="E4" i="37"/>
  <c r="D4" i="37"/>
  <c r="F79" i="36"/>
  <c r="F78" i="36"/>
  <c r="F77" i="36"/>
  <c r="F76" i="36"/>
  <c r="F75" i="36"/>
  <c r="F74" i="36"/>
  <c r="F73" i="36"/>
  <c r="D72" i="36"/>
  <c r="D71" i="36"/>
  <c r="E70" i="36"/>
  <c r="D70" i="36"/>
  <c r="E69" i="36"/>
  <c r="D69" i="36"/>
  <c r="E68" i="36"/>
  <c r="D68" i="36"/>
  <c r="E67" i="36"/>
  <c r="D67" i="36"/>
  <c r="E66" i="36"/>
  <c r="D66" i="36"/>
  <c r="E65" i="36"/>
  <c r="D65" i="36"/>
  <c r="E64" i="36"/>
  <c r="D64" i="36"/>
  <c r="F62" i="36"/>
  <c r="E61" i="36"/>
  <c r="E60" i="36"/>
  <c r="E59" i="36"/>
  <c r="E58" i="36"/>
  <c r="E57" i="36"/>
  <c r="E56" i="36"/>
  <c r="E55" i="36"/>
  <c r="E54" i="36"/>
  <c r="F52" i="36"/>
  <c r="E51" i="36"/>
  <c r="D51" i="36"/>
  <c r="E50" i="36"/>
  <c r="D50" i="36"/>
  <c r="E49" i="36"/>
  <c r="D49" i="36"/>
  <c r="E48" i="36"/>
  <c r="D48" i="36"/>
  <c r="E47" i="36"/>
  <c r="D47" i="36"/>
  <c r="E46" i="36"/>
  <c r="D46" i="36"/>
  <c r="E45" i="36"/>
  <c r="D45" i="36"/>
  <c r="E44" i="36"/>
  <c r="D44" i="36"/>
  <c r="E43" i="36"/>
  <c r="D43" i="36"/>
  <c r="E42" i="36"/>
  <c r="D42" i="36"/>
  <c r="E41" i="36"/>
  <c r="D41" i="36"/>
  <c r="E40" i="36"/>
  <c r="D40" i="36"/>
  <c r="E39" i="36"/>
  <c r="D39" i="36"/>
  <c r="E37" i="36"/>
  <c r="D37" i="36"/>
  <c r="E36" i="36"/>
  <c r="D36" i="36"/>
  <c r="E35" i="36"/>
  <c r="D35" i="36"/>
  <c r="E34" i="36"/>
  <c r="D34" i="36"/>
  <c r="F32" i="36"/>
  <c r="E31" i="36"/>
  <c r="D31" i="36"/>
  <c r="E30" i="36"/>
  <c r="D30" i="36"/>
  <c r="E29" i="36"/>
  <c r="D29" i="36"/>
  <c r="E28" i="36"/>
  <c r="D28" i="36"/>
  <c r="E27" i="36"/>
  <c r="D27" i="36"/>
  <c r="E26" i="36"/>
  <c r="D26" i="36"/>
  <c r="E25" i="36"/>
  <c r="D25" i="36"/>
  <c r="E24" i="36"/>
  <c r="D24" i="36"/>
  <c r="E23" i="36"/>
  <c r="D23" i="36"/>
  <c r="E22" i="36"/>
  <c r="D22" i="36"/>
  <c r="E21" i="36"/>
  <c r="D21" i="36"/>
  <c r="E20" i="36"/>
  <c r="D20" i="36"/>
  <c r="E19" i="36"/>
  <c r="D19" i="36"/>
  <c r="E18" i="36"/>
  <c r="D18" i="36"/>
  <c r="E17" i="36"/>
  <c r="D17" i="36"/>
  <c r="E16" i="36"/>
  <c r="D16" i="36"/>
  <c r="E15" i="36"/>
  <c r="D15" i="36"/>
  <c r="E14" i="36"/>
  <c r="D14" i="36"/>
  <c r="E13" i="36"/>
  <c r="D13" i="36"/>
  <c r="E12" i="36"/>
  <c r="D12" i="36"/>
  <c r="E11" i="36"/>
  <c r="D11" i="36"/>
  <c r="E10" i="36"/>
  <c r="D10" i="36"/>
  <c r="E9" i="36"/>
  <c r="D9" i="36"/>
  <c r="E8" i="36"/>
  <c r="D8" i="36"/>
  <c r="E7" i="36"/>
  <c r="D7" i="36"/>
  <c r="E6" i="36"/>
  <c r="D6" i="36"/>
  <c r="E5" i="36"/>
  <c r="D5" i="36"/>
  <c r="E4" i="36"/>
  <c r="D4" i="36"/>
  <c r="F105" i="35"/>
  <c r="F104" i="35"/>
  <c r="F103" i="35"/>
  <c r="F102" i="35"/>
  <c r="F101" i="35"/>
  <c r="F100" i="35"/>
  <c r="F99" i="35"/>
  <c r="D98" i="35"/>
  <c r="E97" i="35"/>
  <c r="D97" i="35"/>
  <c r="E96" i="35"/>
  <c r="D96" i="35"/>
  <c r="E95" i="35"/>
  <c r="D95" i="35"/>
  <c r="E94" i="35"/>
  <c r="D94" i="35"/>
  <c r="E93" i="35"/>
  <c r="D93" i="35"/>
  <c r="E92" i="35"/>
  <c r="D92" i="35"/>
  <c r="E91" i="35"/>
  <c r="D91" i="35"/>
  <c r="E90" i="35"/>
  <c r="D90" i="35"/>
  <c r="E89" i="35"/>
  <c r="D89" i="35"/>
  <c r="E88" i="35"/>
  <c r="D88" i="35"/>
  <c r="E87" i="35"/>
  <c r="D87" i="35"/>
  <c r="F85" i="35"/>
  <c r="E84" i="35"/>
  <c r="E83" i="35"/>
  <c r="E82" i="35"/>
  <c r="E81" i="35"/>
  <c r="E80" i="35"/>
  <c r="E79" i="35"/>
  <c r="E78" i="35"/>
  <c r="E77" i="35"/>
  <c r="F75" i="35"/>
  <c r="D74" i="35"/>
  <c r="D73" i="35"/>
  <c r="D72" i="35"/>
  <c r="D71" i="35"/>
  <c r="E70" i="35"/>
  <c r="D70" i="35"/>
  <c r="E69" i="35"/>
  <c r="D69" i="35"/>
  <c r="E68" i="35"/>
  <c r="D68" i="35"/>
  <c r="E67" i="35"/>
  <c r="D67" i="35"/>
  <c r="E66" i="35"/>
  <c r="D66" i="35"/>
  <c r="E65" i="35"/>
  <c r="D65" i="35"/>
  <c r="E64" i="35"/>
  <c r="D64" i="35"/>
  <c r="E63" i="35"/>
  <c r="D63" i="35"/>
  <c r="D62" i="35"/>
  <c r="E61" i="35"/>
  <c r="D61" i="35"/>
  <c r="E60" i="35"/>
  <c r="D60" i="35"/>
  <c r="E59" i="35"/>
  <c r="D59" i="35"/>
  <c r="E58" i="35"/>
  <c r="D58" i="35"/>
  <c r="E57" i="35"/>
  <c r="D57" i="35"/>
  <c r="E56" i="35"/>
  <c r="D56" i="35"/>
  <c r="E55" i="35"/>
  <c r="D55" i="35"/>
  <c r="E54" i="35"/>
  <c r="D54" i="35"/>
  <c r="E53" i="35"/>
  <c r="D53" i="35"/>
  <c r="E52" i="35"/>
  <c r="D52" i="35"/>
  <c r="E51" i="35"/>
  <c r="D51" i="35"/>
  <c r="E50" i="35"/>
  <c r="D50" i="35"/>
  <c r="E49" i="35"/>
  <c r="D49" i="35"/>
  <c r="E48" i="35"/>
  <c r="D48" i="35"/>
  <c r="E47" i="35"/>
  <c r="D47" i="35"/>
  <c r="E46" i="35"/>
  <c r="D46" i="35"/>
  <c r="E45" i="35"/>
  <c r="D45" i="35"/>
  <c r="E44" i="35"/>
  <c r="D44" i="35"/>
  <c r="E43" i="35"/>
  <c r="D43" i="35"/>
  <c r="E42" i="35"/>
  <c r="D42" i="35"/>
  <c r="E41" i="35"/>
  <c r="D41" i="35"/>
  <c r="E40" i="35"/>
  <c r="D40" i="35"/>
  <c r="F38" i="35"/>
  <c r="E28" i="35"/>
  <c r="D28" i="35"/>
  <c r="E27" i="35"/>
  <c r="D27" i="35"/>
  <c r="E26" i="35"/>
  <c r="D26" i="35"/>
  <c r="E25" i="35"/>
  <c r="D25" i="35"/>
  <c r="E24" i="35"/>
  <c r="D24" i="35"/>
  <c r="E23" i="35"/>
  <c r="D23" i="35"/>
  <c r="E22" i="35"/>
  <c r="D22" i="35"/>
  <c r="E21" i="35"/>
  <c r="D21" i="35"/>
  <c r="E20" i="35"/>
  <c r="D20" i="35"/>
  <c r="E19" i="35"/>
  <c r="D19" i="35"/>
  <c r="E18" i="35"/>
  <c r="D18" i="35"/>
  <c r="E17" i="35"/>
  <c r="D17" i="35"/>
  <c r="E16" i="35"/>
  <c r="D16" i="35"/>
  <c r="E15" i="35"/>
  <c r="D15" i="35"/>
  <c r="E14" i="35"/>
  <c r="D14" i="35"/>
  <c r="E13" i="35"/>
  <c r="D13" i="35"/>
  <c r="E12" i="35"/>
  <c r="D12" i="35"/>
  <c r="E11" i="35"/>
  <c r="D11" i="35"/>
  <c r="E10" i="35"/>
  <c r="D10" i="35"/>
  <c r="E9" i="35"/>
  <c r="D9" i="35"/>
  <c r="E8" i="35"/>
  <c r="D8" i="35"/>
  <c r="E7" i="35"/>
  <c r="D7" i="35"/>
  <c r="E6" i="35"/>
  <c r="D6" i="35"/>
  <c r="E5" i="35"/>
  <c r="D5" i="35"/>
  <c r="E4" i="35"/>
  <c r="D4" i="35"/>
  <c r="F56" i="34"/>
  <c r="F55" i="34"/>
  <c r="F54" i="34"/>
  <c r="F53" i="34"/>
  <c r="F52" i="34"/>
  <c r="F51" i="34"/>
  <c r="F50" i="34"/>
  <c r="D49" i="34"/>
  <c r="D48" i="34"/>
  <c r="D47" i="34"/>
  <c r="D46" i="34"/>
  <c r="E45" i="34"/>
  <c r="D45" i="34"/>
  <c r="E44" i="34"/>
  <c r="D44" i="34"/>
  <c r="E43" i="34"/>
  <c r="D43" i="34"/>
  <c r="E42" i="34"/>
  <c r="D42" i="34"/>
  <c r="E41" i="34"/>
  <c r="D41" i="34"/>
  <c r="E40" i="34"/>
  <c r="D40" i="34"/>
  <c r="E39" i="34"/>
  <c r="D39" i="34"/>
  <c r="E38" i="34"/>
  <c r="D38" i="34"/>
  <c r="F36" i="34"/>
  <c r="E35" i="34"/>
  <c r="E34" i="34"/>
  <c r="E33" i="34"/>
  <c r="E32" i="34"/>
  <c r="E31" i="34"/>
  <c r="E30" i="34"/>
  <c r="E29" i="34"/>
  <c r="E28" i="34"/>
  <c r="F26" i="34"/>
  <c r="D25" i="34"/>
  <c r="E24" i="34"/>
  <c r="D24" i="34"/>
  <c r="E23" i="34"/>
  <c r="D23" i="34"/>
  <c r="E22" i="34"/>
  <c r="D22" i="34"/>
  <c r="E21" i="34"/>
  <c r="D21" i="34"/>
  <c r="E20" i="34"/>
  <c r="D20" i="34"/>
  <c r="E19" i="34"/>
  <c r="D19" i="34"/>
  <c r="E18" i="34"/>
  <c r="D18" i="34"/>
  <c r="E17" i="34"/>
  <c r="D17" i="34"/>
  <c r="F15" i="34"/>
  <c r="E14" i="34"/>
  <c r="D14" i="34"/>
  <c r="E13" i="34"/>
  <c r="D13" i="34"/>
  <c r="E12" i="34"/>
  <c r="D12" i="34"/>
  <c r="E11" i="34"/>
  <c r="D11" i="34"/>
  <c r="E10" i="34"/>
  <c r="D10" i="34"/>
  <c r="E9" i="34"/>
  <c r="D9" i="34"/>
  <c r="E8" i="34"/>
  <c r="D8" i="34"/>
  <c r="E7" i="34"/>
  <c r="D7" i="34"/>
  <c r="E6" i="34"/>
  <c r="D6" i="34"/>
  <c r="E5" i="34"/>
  <c r="D5" i="34"/>
  <c r="E4" i="34"/>
  <c r="D4" i="34"/>
  <c r="F105" i="33"/>
  <c r="F104" i="33"/>
  <c r="F103" i="33"/>
  <c r="F102" i="33"/>
  <c r="F101" i="33"/>
  <c r="F100" i="33"/>
  <c r="F99" i="33"/>
  <c r="D98" i="33"/>
  <c r="D97" i="33"/>
  <c r="D96" i="33"/>
  <c r="D95" i="33"/>
  <c r="D94" i="33"/>
  <c r="E93" i="33"/>
  <c r="D93" i="33"/>
  <c r="E92" i="33"/>
  <c r="D92" i="33"/>
  <c r="E91" i="33"/>
  <c r="D91" i="33"/>
  <c r="E90" i="33"/>
  <c r="D90" i="33"/>
  <c r="E89" i="33"/>
  <c r="D89" i="33"/>
  <c r="E88" i="33"/>
  <c r="D88" i="33"/>
  <c r="E87" i="33"/>
  <c r="D87" i="33"/>
  <c r="F85" i="33"/>
  <c r="E84" i="33"/>
  <c r="E83" i="33"/>
  <c r="E82" i="33"/>
  <c r="E81" i="33"/>
  <c r="E80" i="33"/>
  <c r="E79" i="33"/>
  <c r="E78" i="33"/>
  <c r="E77" i="33"/>
  <c r="F75" i="33"/>
  <c r="D74" i="33"/>
  <c r="D73" i="33"/>
  <c r="D72" i="33"/>
  <c r="D71" i="33"/>
  <c r="D70" i="33"/>
  <c r="D69" i="33"/>
  <c r="D68" i="33"/>
  <c r="E67" i="33"/>
  <c r="D67" i="33"/>
  <c r="E66" i="33"/>
  <c r="D66" i="33"/>
  <c r="E65" i="33"/>
  <c r="D65" i="33"/>
  <c r="E64" i="33"/>
  <c r="D64" i="33"/>
  <c r="E63" i="33"/>
  <c r="D63" i="33"/>
  <c r="D62" i="33"/>
  <c r="E61" i="33"/>
  <c r="D61" i="33"/>
  <c r="E60" i="33"/>
  <c r="D60" i="33"/>
  <c r="E59" i="33"/>
  <c r="D59" i="33"/>
  <c r="E58" i="33"/>
  <c r="D58" i="33"/>
  <c r="E57" i="33"/>
  <c r="D57" i="33"/>
  <c r="E56" i="33"/>
  <c r="D56" i="33"/>
  <c r="E55" i="33"/>
  <c r="D55" i="33"/>
  <c r="E54" i="33"/>
  <c r="D54" i="33"/>
  <c r="E53" i="33"/>
  <c r="D53" i="33"/>
  <c r="E52" i="33"/>
  <c r="D52" i="33"/>
  <c r="E51" i="33"/>
  <c r="D51" i="33"/>
  <c r="E50" i="33"/>
  <c r="D50" i="33"/>
  <c r="E49" i="33"/>
  <c r="D49" i="33"/>
  <c r="E48" i="33"/>
  <c r="D48" i="33"/>
  <c r="E47" i="33"/>
  <c r="D47" i="33"/>
  <c r="E46" i="33"/>
  <c r="D46" i="33"/>
  <c r="E45" i="33"/>
  <c r="D45" i="33"/>
  <c r="E44" i="33"/>
  <c r="D44" i="33"/>
  <c r="E43" i="33"/>
  <c r="D43" i="33"/>
  <c r="E42" i="33"/>
  <c r="D42" i="33"/>
  <c r="E41" i="33"/>
  <c r="D41" i="33"/>
  <c r="E40" i="33"/>
  <c r="D40" i="33"/>
  <c r="F38" i="33"/>
  <c r="E28" i="33"/>
  <c r="E27" i="33"/>
  <c r="E26" i="33"/>
  <c r="E25" i="33"/>
  <c r="E24" i="33"/>
  <c r="E23" i="33"/>
  <c r="E22" i="33"/>
  <c r="E21" i="33"/>
  <c r="E20" i="33"/>
  <c r="E19" i="33"/>
  <c r="E18" i="33"/>
  <c r="E17" i="33"/>
  <c r="E16" i="33"/>
  <c r="E15" i="33"/>
  <c r="E14" i="33"/>
  <c r="E13" i="33"/>
  <c r="E12" i="33"/>
  <c r="E11" i="33"/>
  <c r="E10" i="33"/>
  <c r="E9" i="33"/>
  <c r="E8" i="33"/>
  <c r="E7" i="33"/>
  <c r="E6" i="33"/>
  <c r="E5" i="33"/>
  <c r="E4" i="33"/>
  <c r="F67" i="32"/>
  <c r="F66" i="32"/>
  <c r="F65" i="32"/>
  <c r="F64" i="32"/>
  <c r="F63" i="32"/>
  <c r="F62" i="32"/>
  <c r="F61" i="32"/>
  <c r="D60" i="32"/>
  <c r="D59" i="32"/>
  <c r="D58" i="32"/>
  <c r="D57" i="32"/>
  <c r="E56" i="32"/>
  <c r="D56" i="32"/>
  <c r="E55" i="32"/>
  <c r="D55" i="32"/>
  <c r="E54" i="32"/>
  <c r="D54" i="32"/>
  <c r="E53" i="32"/>
  <c r="D53" i="32"/>
  <c r="E52" i="32"/>
  <c r="D52" i="32"/>
  <c r="E51" i="32"/>
  <c r="D51" i="32"/>
  <c r="E50" i="32"/>
  <c r="D50" i="32"/>
  <c r="E49" i="32"/>
  <c r="D49" i="32"/>
  <c r="F47" i="32"/>
  <c r="E46" i="32"/>
  <c r="E45" i="32"/>
  <c r="E44" i="32"/>
  <c r="E43" i="32"/>
  <c r="E42" i="32"/>
  <c r="E41" i="32"/>
  <c r="E40" i="32"/>
  <c r="E39" i="32"/>
  <c r="F37" i="32"/>
  <c r="D36" i="32"/>
  <c r="E35" i="32"/>
  <c r="D35" i="32"/>
  <c r="E34" i="32"/>
  <c r="D34" i="32"/>
  <c r="E33" i="32"/>
  <c r="D33" i="32"/>
  <c r="E32" i="32"/>
  <c r="D32" i="32"/>
  <c r="E31" i="32"/>
  <c r="D31" i="32"/>
  <c r="E30" i="32"/>
  <c r="D30" i="32"/>
  <c r="F28" i="32"/>
  <c r="E18" i="32"/>
  <c r="D18" i="32"/>
  <c r="E17" i="32"/>
  <c r="D17" i="32"/>
  <c r="E16" i="32"/>
  <c r="D16" i="32"/>
  <c r="E15" i="32"/>
  <c r="D15" i="32"/>
  <c r="E14" i="32"/>
  <c r="D14" i="32"/>
  <c r="E13" i="32"/>
  <c r="D13" i="32"/>
  <c r="E12" i="32"/>
  <c r="D12" i="32"/>
  <c r="E11" i="32"/>
  <c r="D11" i="32"/>
  <c r="E10" i="32"/>
  <c r="D10" i="32"/>
  <c r="E9" i="32"/>
  <c r="D9" i="32"/>
  <c r="E8" i="32"/>
  <c r="D8" i="32"/>
  <c r="E7" i="32"/>
  <c r="D7" i="32"/>
  <c r="E6" i="32"/>
  <c r="D6" i="32"/>
  <c r="E5" i="32"/>
  <c r="D5" i="32"/>
  <c r="E4" i="32"/>
  <c r="D4" i="32"/>
  <c r="F64" i="31"/>
  <c r="F63" i="31"/>
  <c r="F62" i="31"/>
  <c r="F61" i="31"/>
  <c r="F60" i="31"/>
  <c r="F59" i="31"/>
  <c r="F58" i="31"/>
  <c r="D56" i="31"/>
  <c r="D55" i="31"/>
  <c r="D54" i="31"/>
  <c r="D53" i="31"/>
  <c r="E52" i="31"/>
  <c r="D52" i="31"/>
  <c r="E51" i="31"/>
  <c r="D51" i="31"/>
  <c r="E50" i="31"/>
  <c r="D50" i="31"/>
  <c r="E49" i="31"/>
  <c r="D49" i="31"/>
  <c r="F47" i="31"/>
  <c r="E46" i="31"/>
  <c r="E45" i="31"/>
  <c r="E44" i="31"/>
  <c r="E43" i="31"/>
  <c r="E42" i="31"/>
  <c r="E41" i="31"/>
  <c r="E40" i="31"/>
  <c r="E39" i="31"/>
  <c r="F37" i="31"/>
  <c r="D36" i="31"/>
  <c r="D35" i="31"/>
  <c r="D34" i="31"/>
  <c r="D33" i="31"/>
  <c r="D32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F21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E6" i="31"/>
  <c r="D6" i="31"/>
  <c r="E5" i="31"/>
  <c r="D5" i="31"/>
  <c r="E4" i="31"/>
  <c r="D4" i="31"/>
  <c r="F51" i="30"/>
  <c r="D50" i="30"/>
  <c r="E49" i="30"/>
  <c r="D49" i="30"/>
  <c r="E48" i="30"/>
  <c r="D48" i="30"/>
  <c r="E47" i="30"/>
  <c r="D47" i="30"/>
  <c r="E46" i="30"/>
  <c r="D46" i="30"/>
  <c r="E45" i="30"/>
  <c r="D45" i="30"/>
  <c r="E44" i="30"/>
  <c r="D44" i="30"/>
  <c r="E43" i="30"/>
  <c r="D43" i="30"/>
  <c r="E42" i="30"/>
  <c r="D42" i="30"/>
  <c r="D38" i="30"/>
  <c r="E38" i="30" s="1"/>
  <c r="E37" i="30"/>
  <c r="E36" i="30"/>
  <c r="E35" i="30"/>
  <c r="E34" i="30"/>
  <c r="F32" i="30"/>
  <c r="D31" i="30"/>
  <c r="D30" i="30"/>
  <c r="D29" i="30"/>
  <c r="E28" i="30"/>
  <c r="D28" i="30"/>
  <c r="E27" i="30"/>
  <c r="D27" i="30"/>
  <c r="E26" i="30"/>
  <c r="D26" i="30"/>
  <c r="E25" i="30"/>
  <c r="D25" i="30"/>
  <c r="D24" i="30"/>
  <c r="E23" i="30"/>
  <c r="D23" i="30"/>
  <c r="E22" i="30"/>
  <c r="D22" i="30"/>
  <c r="F20" i="30"/>
  <c r="E14" i="30"/>
  <c r="D14" i="30"/>
  <c r="E13" i="30"/>
  <c r="D13" i="30"/>
  <c r="E12" i="30"/>
  <c r="D12" i="30"/>
  <c r="E11" i="30"/>
  <c r="D11" i="30"/>
  <c r="E10" i="30"/>
  <c r="D10" i="30"/>
  <c r="E9" i="30"/>
  <c r="D9" i="30"/>
  <c r="E8" i="30"/>
  <c r="D8" i="30"/>
  <c r="E7" i="30"/>
  <c r="D7" i="30"/>
  <c r="E6" i="30"/>
  <c r="D6" i="30"/>
  <c r="E5" i="30"/>
  <c r="D5" i="30"/>
  <c r="E4" i="30"/>
  <c r="D4" i="30"/>
  <c r="F90" i="29"/>
  <c r="F89" i="29"/>
  <c r="F88" i="29"/>
  <c r="F87" i="29"/>
  <c r="F86" i="29"/>
  <c r="F85" i="29"/>
  <c r="F84" i="29"/>
  <c r="D83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F70" i="29"/>
  <c r="E69" i="29"/>
  <c r="E68" i="29"/>
  <c r="E67" i="29"/>
  <c r="E66" i="29"/>
  <c r="E65" i="29"/>
  <c r="E64" i="29"/>
  <c r="E63" i="29"/>
  <c r="E62" i="29"/>
  <c r="F60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F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E6" i="29"/>
  <c r="D6" i="29"/>
  <c r="E5" i="29"/>
  <c r="D5" i="29"/>
  <c r="E4" i="29"/>
  <c r="D4" i="29"/>
  <c r="F80" i="28"/>
  <c r="F79" i="28"/>
  <c r="F78" i="28"/>
  <c r="F77" i="28"/>
  <c r="F76" i="28"/>
  <c r="F75" i="28"/>
  <c r="F74" i="28"/>
  <c r="E73" i="28"/>
  <c r="D73" i="28"/>
  <c r="E72" i="28"/>
  <c r="D72" i="28"/>
  <c r="E71" i="28"/>
  <c r="D71" i="28"/>
  <c r="E70" i="28"/>
  <c r="D70" i="28"/>
  <c r="E69" i="28"/>
  <c r="D69" i="28"/>
  <c r="E68" i="28"/>
  <c r="D68" i="28"/>
  <c r="E67" i="28"/>
  <c r="D67" i="28"/>
  <c r="E66" i="28"/>
  <c r="D66" i="28"/>
  <c r="E65" i="28"/>
  <c r="D65" i="28"/>
  <c r="E64" i="28"/>
  <c r="D64" i="28"/>
  <c r="E63" i="28"/>
  <c r="D63" i="28"/>
  <c r="E62" i="28"/>
  <c r="D62" i="28"/>
  <c r="E61" i="28"/>
  <c r="D61" i="28"/>
  <c r="F59" i="28"/>
  <c r="E58" i="28"/>
  <c r="E57" i="28"/>
  <c r="E56" i="28"/>
  <c r="E55" i="28"/>
  <c r="E54" i="28"/>
  <c r="E53" i="28"/>
  <c r="E52" i="28"/>
  <c r="E51" i="28"/>
  <c r="F49" i="28"/>
  <c r="E46" i="28"/>
  <c r="D46" i="28"/>
  <c r="E45" i="28"/>
  <c r="D45" i="28"/>
  <c r="E44" i="28"/>
  <c r="D44" i="28"/>
  <c r="E43" i="28"/>
  <c r="D43" i="28"/>
  <c r="E42" i="28"/>
  <c r="D42" i="28"/>
  <c r="E41" i="28"/>
  <c r="D41" i="28"/>
  <c r="E40" i="28"/>
  <c r="D40" i="28"/>
  <c r="E39" i="28"/>
  <c r="D39" i="28"/>
  <c r="E38" i="28"/>
  <c r="D38" i="28"/>
  <c r="E37" i="28"/>
  <c r="D37" i="28"/>
  <c r="E36" i="28"/>
  <c r="D36" i="28"/>
  <c r="E35" i="28"/>
  <c r="D35" i="28"/>
  <c r="E34" i="28"/>
  <c r="D34" i="28"/>
  <c r="E33" i="28"/>
  <c r="D33" i="28"/>
  <c r="E32" i="28"/>
  <c r="D32" i="28"/>
  <c r="E31" i="28"/>
  <c r="D31" i="28"/>
  <c r="E30" i="28"/>
  <c r="D30" i="28"/>
  <c r="E29" i="28"/>
  <c r="D29" i="28"/>
  <c r="F27" i="28"/>
  <c r="E26" i="28"/>
  <c r="D26" i="28"/>
  <c r="E25" i="28"/>
  <c r="D25" i="28"/>
  <c r="E24" i="28"/>
  <c r="D24" i="28"/>
  <c r="E23" i="28"/>
  <c r="D23" i="28"/>
  <c r="E22" i="28"/>
  <c r="D22" i="28"/>
  <c r="E21" i="28"/>
  <c r="D21" i="28"/>
  <c r="E20" i="28"/>
  <c r="D20" i="28"/>
  <c r="E19" i="28"/>
  <c r="D19" i="28"/>
  <c r="E18" i="28"/>
  <c r="D18" i="28"/>
  <c r="E17" i="28"/>
  <c r="D17" i="28"/>
  <c r="E16" i="28"/>
  <c r="D16" i="28"/>
  <c r="E15" i="28"/>
  <c r="D15" i="28"/>
  <c r="E14" i="28"/>
  <c r="D14" i="28"/>
  <c r="E13" i="28"/>
  <c r="D13" i="28"/>
  <c r="E12" i="28"/>
  <c r="D12" i="28"/>
  <c r="E11" i="28"/>
  <c r="D11" i="28"/>
  <c r="E10" i="28"/>
  <c r="D10" i="28"/>
  <c r="E9" i="28"/>
  <c r="D9" i="28"/>
  <c r="E8" i="28"/>
  <c r="D8" i="28"/>
  <c r="E7" i="28"/>
  <c r="D7" i="28"/>
  <c r="E6" i="28"/>
  <c r="D6" i="28"/>
  <c r="E5" i="28"/>
  <c r="D5" i="28"/>
  <c r="E4" i="28"/>
  <c r="D4" i="28"/>
  <c r="F74" i="27"/>
  <c r="F73" i="27"/>
  <c r="F72" i="27"/>
  <c r="F71" i="27"/>
  <c r="F70" i="27"/>
  <c r="F69" i="27"/>
  <c r="F68" i="27"/>
  <c r="E67" i="27"/>
  <c r="D67" i="27"/>
  <c r="E66" i="27"/>
  <c r="D66" i="27"/>
  <c r="E65" i="27"/>
  <c r="D65" i="27"/>
  <c r="E64" i="27"/>
  <c r="D64" i="27"/>
  <c r="E63" i="27"/>
  <c r="D63" i="27"/>
  <c r="E62" i="27"/>
  <c r="D62" i="27"/>
  <c r="E61" i="27"/>
  <c r="D61" i="27"/>
  <c r="F59" i="27"/>
  <c r="E58" i="27"/>
  <c r="E57" i="27"/>
  <c r="E56" i="27"/>
  <c r="E55" i="27"/>
  <c r="E54" i="27"/>
  <c r="E53" i="27"/>
  <c r="E52" i="27"/>
  <c r="E51" i="27"/>
  <c r="F49" i="27"/>
  <c r="E48" i="27"/>
  <c r="E47" i="27"/>
  <c r="D47" i="27"/>
  <c r="E46" i="27"/>
  <c r="D46" i="27"/>
  <c r="E45" i="27"/>
  <c r="D45" i="27"/>
  <c r="E44" i="27"/>
  <c r="D44" i="27"/>
  <c r="E43" i="27"/>
  <c r="D43" i="27"/>
  <c r="E42" i="27"/>
  <c r="D42" i="27"/>
  <c r="E41" i="27"/>
  <c r="D41" i="27"/>
  <c r="E40" i="27"/>
  <c r="D40" i="27"/>
  <c r="E39" i="27"/>
  <c r="D39" i="27"/>
  <c r="E38" i="27"/>
  <c r="D38" i="27"/>
  <c r="E37" i="27"/>
  <c r="D37" i="27"/>
  <c r="E36" i="27"/>
  <c r="D36" i="27"/>
  <c r="E35" i="27"/>
  <c r="D35" i="27"/>
  <c r="E34" i="27"/>
  <c r="D34" i="27"/>
  <c r="E33" i="27"/>
  <c r="D33" i="27"/>
  <c r="E32" i="27"/>
  <c r="D32" i="27"/>
  <c r="E31" i="27"/>
  <c r="D31" i="27"/>
  <c r="E30" i="27"/>
  <c r="D30" i="27"/>
  <c r="E29" i="27"/>
  <c r="D29" i="27"/>
  <c r="E28" i="27"/>
  <c r="D28" i="27"/>
  <c r="E25" i="27"/>
  <c r="E24" i="27"/>
  <c r="D24" i="27"/>
  <c r="E23" i="27"/>
  <c r="D23" i="27"/>
  <c r="E22" i="27"/>
  <c r="D22" i="27"/>
  <c r="E21" i="27"/>
  <c r="D21" i="27"/>
  <c r="E20" i="27"/>
  <c r="D20" i="27"/>
  <c r="E19" i="27"/>
  <c r="D19" i="27"/>
  <c r="E18" i="27"/>
  <c r="D18" i="27"/>
  <c r="E17" i="27"/>
  <c r="D17" i="27"/>
  <c r="E16" i="27"/>
  <c r="D16" i="27"/>
  <c r="E15" i="27"/>
  <c r="D15" i="27"/>
  <c r="E14" i="27"/>
  <c r="D14" i="27"/>
  <c r="E13" i="27"/>
  <c r="D13" i="27"/>
  <c r="E12" i="27"/>
  <c r="D12" i="27"/>
  <c r="E11" i="27"/>
  <c r="D11" i="27"/>
  <c r="E10" i="27"/>
  <c r="D10" i="27"/>
  <c r="E9" i="27"/>
  <c r="D9" i="27"/>
  <c r="E8" i="27"/>
  <c r="D8" i="27"/>
  <c r="E7" i="27"/>
  <c r="D7" i="27"/>
  <c r="E6" i="27"/>
  <c r="D6" i="27"/>
  <c r="E5" i="27"/>
  <c r="D5" i="27"/>
  <c r="F4" i="27"/>
  <c r="E4" i="27"/>
  <c r="D4" i="27"/>
  <c r="F45" i="26"/>
  <c r="F44" i="26"/>
  <c r="F43" i="26"/>
  <c r="F42" i="26"/>
  <c r="F41" i="26"/>
  <c r="F40" i="26"/>
  <c r="F39" i="26"/>
  <c r="D37" i="26"/>
  <c r="E36" i="26"/>
  <c r="D36" i="26"/>
  <c r="E35" i="26"/>
  <c r="D35" i="26"/>
  <c r="F33" i="26"/>
  <c r="E32" i="26"/>
  <c r="E31" i="26"/>
  <c r="E30" i="26"/>
  <c r="E29" i="26"/>
  <c r="E28" i="26"/>
  <c r="E27" i="26"/>
  <c r="E26" i="26"/>
  <c r="E25" i="26"/>
  <c r="F23" i="26"/>
  <c r="E20" i="26"/>
  <c r="D20" i="26"/>
  <c r="E19" i="26"/>
  <c r="D19" i="26"/>
  <c r="E18" i="26"/>
  <c r="D18" i="26"/>
  <c r="F16" i="26"/>
  <c r="E15" i="26"/>
  <c r="E14" i="26"/>
  <c r="D14" i="26"/>
  <c r="E13" i="26"/>
  <c r="D13" i="26"/>
  <c r="E12" i="26"/>
  <c r="D12" i="26"/>
  <c r="E11" i="26"/>
  <c r="D11" i="26"/>
  <c r="E10" i="26"/>
  <c r="D10" i="26"/>
  <c r="E9" i="26"/>
  <c r="D9" i="26"/>
  <c r="E8" i="26"/>
  <c r="D8" i="26"/>
  <c r="E7" i="26"/>
  <c r="D7" i="26"/>
  <c r="E6" i="26"/>
  <c r="D6" i="26"/>
  <c r="E5" i="26"/>
  <c r="D5" i="26"/>
  <c r="E4" i="26"/>
  <c r="D4" i="26"/>
  <c r="F50" i="25"/>
  <c r="E49" i="25"/>
  <c r="D49" i="25"/>
  <c r="E48" i="25"/>
  <c r="D48" i="25"/>
  <c r="E47" i="25"/>
  <c r="D47" i="25"/>
  <c r="E46" i="25"/>
  <c r="D46" i="25"/>
  <c r="E45" i="25"/>
  <c r="D45" i="25"/>
  <c r="E44" i="25"/>
  <c r="D44" i="25"/>
  <c r="F35" i="25"/>
  <c r="E34" i="25"/>
  <c r="D34" i="25"/>
  <c r="E33" i="25"/>
  <c r="D33" i="25"/>
  <c r="E32" i="25"/>
  <c r="D32" i="25"/>
  <c r="E31" i="25"/>
  <c r="D31" i="25"/>
  <c r="E30" i="25"/>
  <c r="D30" i="25"/>
  <c r="E29" i="25"/>
  <c r="D29" i="25"/>
  <c r="E28" i="25"/>
  <c r="D28" i="25"/>
  <c r="E27" i="25"/>
  <c r="D27" i="25"/>
  <c r="E26" i="25"/>
  <c r="D26" i="25"/>
  <c r="E25" i="25"/>
  <c r="D25" i="25"/>
  <c r="E24" i="25"/>
  <c r="D24" i="25"/>
  <c r="E23" i="25"/>
  <c r="D23" i="25"/>
  <c r="E22" i="25"/>
  <c r="D22" i="25"/>
  <c r="E21" i="25"/>
  <c r="D21" i="25"/>
  <c r="F19" i="25"/>
  <c r="E12" i="25"/>
  <c r="E11" i="25"/>
  <c r="D11" i="25"/>
  <c r="E10" i="25"/>
  <c r="D10" i="25"/>
  <c r="E9" i="25"/>
  <c r="D9" i="25"/>
  <c r="E8" i="25"/>
  <c r="D8" i="25"/>
  <c r="E7" i="25"/>
  <c r="D7" i="25"/>
  <c r="E6" i="25"/>
  <c r="D6" i="25"/>
  <c r="E5" i="25"/>
  <c r="D5" i="25"/>
  <c r="E4" i="25"/>
  <c r="D4" i="25"/>
  <c r="F35" i="24"/>
  <c r="E35" i="24"/>
  <c r="D35" i="24"/>
  <c r="E34" i="24"/>
  <c r="D34" i="24"/>
  <c r="E33" i="24"/>
  <c r="D33" i="24"/>
  <c r="F23" i="24"/>
  <c r="D22" i="24"/>
  <c r="D21" i="24"/>
  <c r="D20" i="24"/>
  <c r="E19" i="24"/>
  <c r="E18" i="24"/>
  <c r="D18" i="24"/>
  <c r="F16" i="24"/>
  <c r="E15" i="24"/>
  <c r="D15" i="24"/>
  <c r="E14" i="24"/>
  <c r="D14" i="24"/>
  <c r="E13" i="24"/>
  <c r="D13" i="24"/>
  <c r="E12" i="24"/>
  <c r="D12" i="24"/>
  <c r="E11" i="24"/>
  <c r="D11" i="24"/>
  <c r="E10" i="24"/>
  <c r="D10" i="24"/>
  <c r="E9" i="24"/>
  <c r="D9" i="24"/>
  <c r="E8" i="24"/>
  <c r="D8" i="24"/>
  <c r="E7" i="24"/>
  <c r="D7" i="24"/>
  <c r="E6" i="24"/>
  <c r="D6" i="24"/>
  <c r="E5" i="24"/>
  <c r="D5" i="24"/>
  <c r="E4" i="24"/>
  <c r="D4" i="24"/>
  <c r="F40" i="23"/>
  <c r="D39" i="23"/>
  <c r="E38" i="23"/>
  <c r="D38" i="23"/>
  <c r="E37" i="23"/>
  <c r="D37" i="23"/>
  <c r="E36" i="23"/>
  <c r="D36" i="23"/>
  <c r="F27" i="23"/>
  <c r="D26" i="23"/>
  <c r="D25" i="23"/>
  <c r="D24" i="23"/>
  <c r="D23" i="23"/>
  <c r="E22" i="23"/>
  <c r="D22" i="23"/>
  <c r="F20" i="23"/>
  <c r="E19" i="23"/>
  <c r="D19" i="23"/>
  <c r="E18" i="23"/>
  <c r="D18" i="23"/>
  <c r="E13" i="23"/>
  <c r="E12" i="23"/>
  <c r="E11" i="23"/>
  <c r="E10" i="23"/>
  <c r="E9" i="23"/>
  <c r="E8" i="23"/>
  <c r="E7" i="23"/>
  <c r="D7" i="23"/>
  <c r="E6" i="23"/>
  <c r="D6" i="23"/>
  <c r="E5" i="23"/>
  <c r="D5" i="23"/>
  <c r="E4" i="23"/>
  <c r="D4" i="23"/>
  <c r="F51" i="22"/>
  <c r="E51" i="22"/>
  <c r="E50" i="22"/>
  <c r="D50" i="22"/>
  <c r="E49" i="22"/>
  <c r="D49" i="22"/>
  <c r="E48" i="22"/>
  <c r="D48" i="22"/>
  <c r="E47" i="22"/>
  <c r="D47" i="22"/>
  <c r="F37" i="22"/>
  <c r="D36" i="22"/>
  <c r="D35" i="22"/>
  <c r="E29" i="22"/>
  <c r="D29" i="22"/>
  <c r="E28" i="22"/>
  <c r="D28" i="22"/>
  <c r="E27" i="22"/>
  <c r="E26" i="22"/>
  <c r="D26" i="22"/>
  <c r="E25" i="22"/>
  <c r="D25" i="22"/>
  <c r="E24" i="22"/>
  <c r="E23" i="22"/>
  <c r="D23" i="22"/>
  <c r="E22" i="22"/>
  <c r="D22" i="22"/>
  <c r="F20" i="22"/>
  <c r="E19" i="22"/>
  <c r="D19" i="22"/>
  <c r="E18" i="22"/>
  <c r="D18" i="22"/>
  <c r="E16" i="22"/>
  <c r="E15" i="22"/>
  <c r="D15" i="22"/>
  <c r="E14" i="22"/>
  <c r="D14" i="22"/>
  <c r="E13" i="22"/>
  <c r="D13" i="22"/>
  <c r="E12" i="22"/>
  <c r="D12" i="22"/>
  <c r="E11" i="22"/>
  <c r="D11" i="22"/>
  <c r="E10" i="22"/>
  <c r="D10" i="22"/>
  <c r="E9" i="22"/>
  <c r="D9" i="22"/>
  <c r="E8" i="22"/>
  <c r="D8" i="22"/>
  <c r="E7" i="22"/>
  <c r="D7" i="22"/>
  <c r="E6" i="22"/>
  <c r="D6" i="22"/>
  <c r="E5" i="22"/>
  <c r="D5" i="22"/>
  <c r="E4" i="22"/>
  <c r="D4" i="22"/>
  <c r="F47" i="21"/>
  <c r="E44" i="21"/>
  <c r="E43" i="21"/>
  <c r="E42" i="21"/>
  <c r="E41" i="21"/>
  <c r="D38" i="21"/>
  <c r="E38" i="21" s="1"/>
  <c r="F32" i="21"/>
  <c r="D31" i="21"/>
  <c r="D30" i="21"/>
  <c r="D29" i="21"/>
  <c r="D28" i="21"/>
  <c r="E25" i="21"/>
  <c r="E24" i="21"/>
  <c r="D24" i="21"/>
  <c r="E23" i="21"/>
  <c r="D23" i="21"/>
  <c r="E22" i="21"/>
  <c r="D22" i="21"/>
  <c r="E21" i="21"/>
  <c r="D21" i="21"/>
  <c r="F19" i="21"/>
  <c r="E18" i="21"/>
  <c r="D18" i="21"/>
  <c r="E17" i="21"/>
  <c r="D17" i="21"/>
  <c r="XFD12" i="21"/>
  <c r="E11" i="21"/>
  <c r="E10" i="21"/>
  <c r="D10" i="21"/>
  <c r="E9" i="21"/>
  <c r="D9" i="21"/>
  <c r="E8" i="21"/>
  <c r="D8" i="21"/>
  <c r="E7" i="21"/>
  <c r="D7" i="21"/>
  <c r="E6" i="21"/>
  <c r="D6" i="21"/>
  <c r="E5" i="21"/>
  <c r="D5" i="21"/>
  <c r="E4" i="21"/>
  <c r="D4" i="21"/>
  <c r="F35" i="20"/>
  <c r="E34" i="20"/>
  <c r="D34" i="20"/>
  <c r="E33" i="20"/>
  <c r="D33" i="20"/>
  <c r="E32" i="20"/>
  <c r="F23" i="20"/>
  <c r="D22" i="20"/>
  <c r="E19" i="20"/>
  <c r="D19" i="20"/>
  <c r="E18" i="20"/>
  <c r="D18" i="20"/>
  <c r="F16" i="20"/>
  <c r="D15" i="20"/>
  <c r="D14" i="20"/>
  <c r="D13" i="20"/>
  <c r="E10" i="20"/>
  <c r="E9" i="20"/>
  <c r="E8" i="20"/>
  <c r="E7" i="20"/>
  <c r="D7" i="20"/>
  <c r="E6" i="20"/>
  <c r="D6" i="20"/>
  <c r="E5" i="20"/>
  <c r="D5" i="20"/>
  <c r="E4" i="20"/>
  <c r="D4" i="20"/>
  <c r="F29" i="19"/>
  <c r="D28" i="19"/>
  <c r="E27" i="19"/>
  <c r="D27" i="19"/>
  <c r="E26" i="19"/>
  <c r="D26" i="19"/>
  <c r="F16" i="19"/>
  <c r="D13" i="19"/>
  <c r="E12" i="19"/>
  <c r="D12" i="19"/>
  <c r="F10" i="19"/>
  <c r="E4" i="19"/>
  <c r="D4" i="19"/>
  <c r="F46" i="18"/>
  <c r="E45" i="18"/>
  <c r="D42" i="18"/>
  <c r="E42" i="18" s="1"/>
  <c r="F33" i="18"/>
  <c r="E23" i="18"/>
  <c r="D23" i="18"/>
  <c r="E22" i="18"/>
  <c r="D22" i="18"/>
  <c r="E21" i="18"/>
  <c r="D21" i="18"/>
  <c r="E20" i="18"/>
  <c r="D20" i="18"/>
  <c r="E19" i="18"/>
  <c r="F18" i="18"/>
  <c r="A18" i="18"/>
  <c r="D17" i="18"/>
  <c r="D16" i="18"/>
  <c r="D15" i="18"/>
  <c r="D14" i="18"/>
  <c r="D13" i="18"/>
  <c r="E9" i="18"/>
  <c r="E8" i="18"/>
  <c r="E7" i="18"/>
  <c r="E6" i="18"/>
  <c r="E5" i="18"/>
  <c r="D5" i="18"/>
  <c r="E4" i="18"/>
  <c r="F34" i="17"/>
  <c r="E33" i="17"/>
  <c r="D33" i="17"/>
  <c r="F21" i="17"/>
  <c r="D20" i="17"/>
  <c r="D19" i="17"/>
  <c r="D18" i="17"/>
  <c r="D17" i="17"/>
  <c r="D16" i="17"/>
  <c r="E15" i="17"/>
  <c r="D15" i="17"/>
  <c r="F13" i="17"/>
  <c r="E9" i="17"/>
  <c r="D9" i="17"/>
  <c r="E8" i="17"/>
  <c r="D8" i="17"/>
  <c r="E7" i="17"/>
  <c r="D7" i="17"/>
  <c r="E6" i="17"/>
  <c r="D6" i="17"/>
  <c r="E5" i="17"/>
  <c r="D5" i="17"/>
  <c r="E4" i="17"/>
  <c r="D4" i="17"/>
  <c r="F49" i="16"/>
  <c r="E48" i="16"/>
  <c r="E47" i="16"/>
  <c r="D47" i="16"/>
  <c r="F38" i="16"/>
  <c r="D37" i="16"/>
  <c r="D36" i="16"/>
  <c r="E35" i="16"/>
  <c r="D35" i="16"/>
  <c r="E34" i="16"/>
  <c r="D34" i="16"/>
  <c r="E33" i="16"/>
  <c r="D33" i="16"/>
  <c r="E32" i="16"/>
  <c r="D32" i="16"/>
  <c r="E31" i="16"/>
  <c r="D31" i="16"/>
  <c r="XEX30" i="16"/>
  <c r="F29" i="16"/>
  <c r="E28" i="16"/>
  <c r="D28" i="16"/>
  <c r="E25" i="16"/>
  <c r="D25" i="16"/>
  <c r="E23" i="16"/>
  <c r="D23" i="16"/>
  <c r="E22" i="16"/>
  <c r="D22" i="16"/>
  <c r="E21" i="16"/>
  <c r="D21" i="16"/>
  <c r="E20" i="16"/>
  <c r="D20" i="16"/>
  <c r="E19" i="16"/>
  <c r="D19" i="16"/>
  <c r="E18" i="16"/>
  <c r="D18" i="16"/>
  <c r="E17" i="16"/>
  <c r="D17" i="16"/>
  <c r="E16" i="16"/>
  <c r="D16" i="16"/>
  <c r="E15" i="16"/>
  <c r="D15" i="16"/>
  <c r="E14" i="16"/>
  <c r="D14" i="16"/>
  <c r="E13" i="16"/>
  <c r="D13" i="16"/>
  <c r="E12" i="16"/>
  <c r="D12" i="16"/>
  <c r="E11" i="16"/>
  <c r="D11" i="16"/>
  <c r="E10" i="16"/>
  <c r="D10" i="16"/>
  <c r="E9" i="16"/>
  <c r="D9" i="16"/>
  <c r="E8" i="16"/>
  <c r="D8" i="16"/>
  <c r="E7" i="16"/>
  <c r="D7" i="16"/>
  <c r="E6" i="16"/>
  <c r="D6" i="16"/>
  <c r="E5" i="16"/>
  <c r="D5" i="16"/>
  <c r="E4" i="16"/>
  <c r="D4" i="16"/>
  <c r="F42" i="15"/>
  <c r="D41" i="15"/>
  <c r="D40" i="15"/>
  <c r="E39" i="15"/>
  <c r="E38" i="15"/>
  <c r="D38" i="15"/>
  <c r="F29" i="15"/>
  <c r="D28" i="15"/>
  <c r="D27" i="15"/>
  <c r="D26" i="15"/>
  <c r="D25" i="15"/>
  <c r="E24" i="15"/>
  <c r="D24" i="15"/>
  <c r="E23" i="15"/>
  <c r="D23" i="15"/>
  <c r="E22" i="15"/>
  <c r="D22" i="15"/>
  <c r="E21" i="15"/>
  <c r="D21" i="15"/>
  <c r="E20" i="15"/>
  <c r="D20" i="15"/>
  <c r="F18" i="15"/>
  <c r="D17" i="15"/>
  <c r="D16" i="15"/>
  <c r="D15" i="15"/>
  <c r="D14" i="15"/>
  <c r="E13" i="15"/>
  <c r="D13" i="15"/>
  <c r="E12" i="15"/>
  <c r="D12" i="15"/>
  <c r="E11" i="15"/>
  <c r="D11" i="15"/>
  <c r="E10" i="15"/>
  <c r="D10" i="15"/>
  <c r="E9" i="15"/>
  <c r="D9" i="15"/>
  <c r="E8" i="15"/>
  <c r="D8" i="15"/>
  <c r="E7" i="15"/>
  <c r="D7" i="15"/>
  <c r="E6" i="15"/>
  <c r="D6" i="15"/>
  <c r="E5" i="15"/>
  <c r="D5" i="15"/>
  <c r="E4" i="15"/>
  <c r="D4" i="15"/>
  <c r="F46" i="12"/>
  <c r="D45" i="12"/>
  <c r="E44" i="12"/>
  <c r="E43" i="12"/>
  <c r="F32" i="12"/>
  <c r="E31" i="12"/>
  <c r="D31" i="12"/>
  <c r="D30" i="12"/>
  <c r="E27" i="12"/>
  <c r="D27" i="12"/>
  <c r="E26" i="12"/>
  <c r="D26" i="12"/>
  <c r="E25" i="12"/>
  <c r="D25" i="12"/>
  <c r="E24" i="12"/>
  <c r="D24" i="12"/>
  <c r="E23" i="12"/>
  <c r="D23" i="12"/>
  <c r="E22" i="12"/>
  <c r="D22" i="12"/>
  <c r="E21" i="12"/>
  <c r="D21" i="12"/>
  <c r="E20" i="12"/>
  <c r="D20" i="12"/>
  <c r="E19" i="12"/>
  <c r="D19" i="12"/>
  <c r="F17" i="12"/>
  <c r="E14" i="12"/>
  <c r="D14" i="12"/>
  <c r="E13" i="12"/>
  <c r="D13" i="12"/>
  <c r="E12" i="12"/>
  <c r="D12" i="12"/>
  <c r="E11" i="12"/>
  <c r="D11" i="12"/>
  <c r="E10" i="12"/>
  <c r="D10" i="12"/>
  <c r="E9" i="12"/>
  <c r="D9" i="12"/>
  <c r="E8" i="12"/>
  <c r="D8" i="12"/>
  <c r="E7" i="12"/>
  <c r="D7" i="12"/>
  <c r="E6" i="12"/>
  <c r="D6" i="12"/>
  <c r="E5" i="12"/>
  <c r="D5" i="12"/>
  <c r="E4" i="12"/>
  <c r="D4" i="12"/>
  <c r="C215" i="72"/>
  <c r="C214" i="72"/>
  <c r="C213" i="72"/>
  <c r="C212" i="72"/>
  <c r="C211" i="72"/>
  <c r="C210" i="72"/>
  <c r="C209" i="72"/>
  <c r="C208" i="72"/>
  <c r="C207" i="72"/>
  <c r="C206" i="72"/>
  <c r="C205" i="72"/>
  <c r="C204" i="72"/>
  <c r="C203" i="72"/>
  <c r="C202" i="72"/>
  <c r="C201" i="72"/>
  <c r="C200" i="72"/>
  <c r="C199" i="72"/>
  <c r="C198" i="72"/>
  <c r="C197" i="72"/>
  <c r="C196" i="72"/>
  <c r="C195" i="72"/>
  <c r="C194" i="72"/>
  <c r="C193" i="72"/>
  <c r="C192" i="72"/>
  <c r="C191" i="72"/>
  <c r="C190" i="72"/>
  <c r="C189" i="72"/>
  <c r="C188" i="72"/>
  <c r="C187" i="72"/>
  <c r="C186" i="72"/>
  <c r="C185" i="72"/>
  <c r="C184" i="72"/>
  <c r="C183" i="72"/>
  <c r="C182" i="72"/>
  <c r="C181" i="72"/>
  <c r="C180" i="72"/>
  <c r="C179" i="72"/>
  <c r="C178" i="72"/>
  <c r="C177" i="72"/>
  <c r="C176" i="72"/>
  <c r="C175" i="72"/>
  <c r="C174" i="72"/>
  <c r="C173" i="72"/>
  <c r="C172" i="72"/>
  <c r="C171" i="72"/>
  <c r="C170" i="72"/>
  <c r="C169" i="72"/>
  <c r="C168" i="72"/>
  <c r="C167" i="72"/>
  <c r="C166" i="72"/>
  <c r="C165" i="72"/>
  <c r="C164" i="72"/>
  <c r="C163" i="72"/>
  <c r="C162" i="72"/>
  <c r="C161" i="72"/>
  <c r="C160" i="72"/>
  <c r="C159" i="72"/>
  <c r="C158" i="72"/>
  <c r="C157" i="72"/>
  <c r="C156" i="72"/>
  <c r="C155" i="72"/>
  <c r="C154" i="72"/>
  <c r="C153" i="72"/>
  <c r="C152" i="72"/>
  <c r="C151" i="72"/>
  <c r="C150" i="72"/>
  <c r="G74" i="72"/>
  <c r="C149" i="72"/>
  <c r="G17" i="72"/>
  <c r="C148" i="72"/>
  <c r="G73" i="72"/>
  <c r="C147" i="72"/>
  <c r="G57" i="72"/>
  <c r="C146" i="72"/>
  <c r="G59" i="72"/>
  <c r="C145" i="72"/>
  <c r="G113" i="72"/>
  <c r="C144" i="72"/>
  <c r="G40" i="72"/>
  <c r="C143" i="72"/>
  <c r="G90" i="72"/>
  <c r="C142" i="72"/>
  <c r="G136" i="72"/>
  <c r="C141" i="72"/>
  <c r="G108" i="72"/>
  <c r="C140" i="72"/>
  <c r="G43" i="72"/>
  <c r="C139" i="72"/>
  <c r="G105" i="72"/>
  <c r="C138" i="72"/>
  <c r="G129" i="72"/>
  <c r="C137" i="72"/>
  <c r="G36" i="72"/>
  <c r="C136" i="72"/>
  <c r="G114" i="72"/>
  <c r="C135" i="72"/>
  <c r="G3" i="72"/>
  <c r="C134" i="72"/>
  <c r="G149" i="72"/>
  <c r="C133" i="72"/>
  <c r="G148" i="72"/>
  <c r="C132" i="72"/>
  <c r="G147" i="72"/>
  <c r="C131" i="72"/>
  <c r="G146" i="72"/>
  <c r="C130" i="72"/>
  <c r="G145" i="72"/>
  <c r="C129" i="72"/>
  <c r="G144" i="72"/>
  <c r="C128" i="72"/>
  <c r="G143" i="72"/>
  <c r="C127" i="72"/>
  <c r="G142" i="72"/>
  <c r="C126" i="72"/>
  <c r="G141" i="72"/>
  <c r="C125" i="72"/>
  <c r="G140" i="72"/>
  <c r="C124" i="72"/>
  <c r="G139" i="72"/>
  <c r="C123" i="72"/>
  <c r="G138" i="72"/>
  <c r="C122" i="72"/>
  <c r="G137" i="72"/>
  <c r="C121" i="72"/>
  <c r="G135" i="72"/>
  <c r="C120" i="72"/>
  <c r="G134" i="72"/>
  <c r="C119" i="72"/>
  <c r="G133" i="72"/>
  <c r="C118" i="72"/>
  <c r="G132" i="72"/>
  <c r="G131" i="72"/>
  <c r="C116" i="72"/>
  <c r="G130" i="72"/>
  <c r="C115" i="72"/>
  <c r="G128" i="72"/>
  <c r="C114" i="72"/>
  <c r="G127" i="72"/>
  <c r="C113" i="72"/>
  <c r="O112" i="72"/>
  <c r="G126" i="72"/>
  <c r="C112" i="72"/>
  <c r="G125" i="72"/>
  <c r="C111" i="72"/>
  <c r="G124" i="72"/>
  <c r="C110" i="72"/>
  <c r="G123" i="72"/>
  <c r="C109" i="72"/>
  <c r="G122" i="72"/>
  <c r="C108" i="72"/>
  <c r="G121" i="72"/>
  <c r="C107" i="72"/>
  <c r="G120" i="72"/>
  <c r="C106" i="72"/>
  <c r="G119" i="72"/>
  <c r="C105" i="72"/>
  <c r="G118" i="72"/>
  <c r="C104" i="72"/>
  <c r="G117" i="72"/>
  <c r="C103" i="72"/>
  <c r="G116" i="72"/>
  <c r="C102" i="72"/>
  <c r="G115" i="72"/>
  <c r="C101" i="72"/>
  <c r="G112" i="72"/>
  <c r="C100" i="72"/>
  <c r="G111" i="72"/>
  <c r="C99" i="72"/>
  <c r="G110" i="72"/>
  <c r="C98" i="72"/>
  <c r="G109" i="72"/>
  <c r="C97" i="72"/>
  <c r="G107" i="72"/>
  <c r="C96" i="72"/>
  <c r="G106" i="72"/>
  <c r="C95" i="72"/>
  <c r="G104" i="72"/>
  <c r="C94" i="72"/>
  <c r="G103" i="72"/>
  <c r="C93" i="72"/>
  <c r="G102" i="72"/>
  <c r="C92" i="72"/>
  <c r="G101" i="72"/>
  <c r="C91" i="72"/>
  <c r="G100" i="72"/>
  <c r="C90" i="72"/>
  <c r="G99" i="72"/>
  <c r="C89" i="72"/>
  <c r="G98" i="72"/>
  <c r="C88" i="72"/>
  <c r="G97" i="72"/>
  <c r="C87" i="72"/>
  <c r="G96" i="72"/>
  <c r="C86" i="72"/>
  <c r="G95" i="72"/>
  <c r="C85" i="72"/>
  <c r="G94" i="72"/>
  <c r="C84" i="72"/>
  <c r="O83" i="72"/>
  <c r="G93" i="72"/>
  <c r="C83" i="72"/>
  <c r="G92" i="72"/>
  <c r="C82" i="72"/>
  <c r="G91" i="72"/>
  <c r="C81" i="72"/>
  <c r="G89" i="72"/>
  <c r="C80" i="72"/>
  <c r="G88" i="72"/>
  <c r="C79" i="72"/>
  <c r="G87" i="72"/>
  <c r="C78" i="72"/>
  <c r="G86" i="72"/>
  <c r="C77" i="72"/>
  <c r="G85" i="72"/>
  <c r="C76" i="72"/>
  <c r="O75" i="72"/>
  <c r="G84" i="72"/>
  <c r="C75" i="72"/>
  <c r="G83" i="72"/>
  <c r="C74" i="72"/>
  <c r="G82" i="72"/>
  <c r="C73" i="72"/>
  <c r="O72" i="72"/>
  <c r="G81" i="72"/>
  <c r="C72" i="72"/>
  <c r="G80" i="72"/>
  <c r="C71" i="72"/>
  <c r="O70" i="72"/>
  <c r="G79" i="72"/>
  <c r="C70" i="72"/>
  <c r="G78" i="72"/>
  <c r="C69" i="72"/>
  <c r="G77" i="72"/>
  <c r="C68" i="72"/>
  <c r="O67" i="72"/>
  <c r="G76" i="72"/>
  <c r="C67" i="72"/>
  <c r="G75" i="72"/>
  <c r="C66" i="72"/>
  <c r="G72" i="72"/>
  <c r="C65" i="72"/>
  <c r="G71" i="72"/>
  <c r="C64" i="72"/>
  <c r="G70" i="72"/>
  <c r="C63" i="72"/>
  <c r="O62" i="72"/>
  <c r="G69" i="72"/>
  <c r="C62" i="72"/>
  <c r="G68" i="72"/>
  <c r="C61" i="72"/>
  <c r="G67" i="72"/>
  <c r="C60" i="72"/>
  <c r="O59" i="72"/>
  <c r="G66" i="72"/>
  <c r="C59" i="72"/>
  <c r="G65" i="72"/>
  <c r="C58" i="72"/>
  <c r="O57" i="72"/>
  <c r="G64" i="72"/>
  <c r="C57" i="72"/>
  <c r="G63" i="72"/>
  <c r="C56" i="72"/>
  <c r="G62" i="72"/>
  <c r="C55" i="72"/>
  <c r="O54" i="72"/>
  <c r="G61" i="72"/>
  <c r="C54" i="72"/>
  <c r="G60" i="72"/>
  <c r="C53" i="72"/>
  <c r="O52" i="72"/>
  <c r="G58" i="72"/>
  <c r="C52" i="72"/>
  <c r="O51" i="72"/>
  <c r="G56" i="72"/>
  <c r="C51" i="72"/>
  <c r="G55" i="72"/>
  <c r="C50" i="72"/>
  <c r="G54" i="72"/>
  <c r="C49" i="72"/>
  <c r="G53" i="72"/>
  <c r="C48" i="72"/>
  <c r="G52" i="72"/>
  <c r="C47" i="72"/>
  <c r="O46" i="72"/>
  <c r="G51" i="72"/>
  <c r="C46" i="72"/>
  <c r="G50" i="72"/>
  <c r="C45" i="72"/>
  <c r="O44" i="72"/>
  <c r="G49" i="72"/>
  <c r="C44" i="72"/>
  <c r="O43" i="72"/>
  <c r="G48" i="72"/>
  <c r="C43" i="72"/>
  <c r="G47" i="72"/>
  <c r="C42" i="72"/>
  <c r="G46" i="72"/>
  <c r="C41" i="72"/>
  <c r="O40" i="72"/>
  <c r="G45" i="72"/>
  <c r="C40" i="72"/>
  <c r="G44" i="72"/>
  <c r="C39" i="72"/>
  <c r="O38" i="72"/>
  <c r="G42" i="72"/>
  <c r="C38" i="72"/>
  <c r="G41" i="72"/>
  <c r="C37" i="72"/>
  <c r="G39" i="72"/>
  <c r="C36" i="72"/>
  <c r="O35" i="72"/>
  <c r="G38" i="72"/>
  <c r="C35" i="72"/>
  <c r="G37" i="72"/>
  <c r="C34" i="72"/>
  <c r="O33" i="72"/>
  <c r="G35" i="72"/>
  <c r="C33" i="72"/>
  <c r="G34" i="72"/>
  <c r="C32" i="72"/>
  <c r="G33" i="72"/>
  <c r="C31" i="72"/>
  <c r="G32" i="72"/>
  <c r="C30" i="72"/>
  <c r="G31" i="72"/>
  <c r="C29" i="72"/>
  <c r="O28" i="72"/>
  <c r="G30" i="72"/>
  <c r="C28" i="72"/>
  <c r="G29" i="72"/>
  <c r="C27" i="72"/>
  <c r="K26" i="72"/>
  <c r="G28" i="72"/>
  <c r="C26" i="72"/>
  <c r="O25" i="72"/>
  <c r="K25" i="72"/>
  <c r="G27" i="72"/>
  <c r="C25" i="72"/>
  <c r="K24" i="72"/>
  <c r="G26" i="72"/>
  <c r="C24" i="72"/>
  <c r="K23" i="72"/>
  <c r="G25" i="72"/>
  <c r="C23" i="72"/>
  <c r="K22" i="72"/>
  <c r="G24" i="72"/>
  <c r="C22" i="72"/>
  <c r="K21" i="72"/>
  <c r="G23" i="72"/>
  <c r="C21" i="72"/>
  <c r="K20" i="72"/>
  <c r="G22" i="72"/>
  <c r="C20" i="72"/>
  <c r="K19" i="72"/>
  <c r="G21" i="72"/>
  <c r="C19" i="72"/>
  <c r="K18" i="72"/>
  <c r="G20" i="72"/>
  <c r="C18" i="72"/>
  <c r="O17" i="72"/>
  <c r="K17" i="72"/>
  <c r="G19" i="72"/>
  <c r="C17" i="72"/>
  <c r="K16" i="72"/>
  <c r="G18" i="72"/>
  <c r="C16" i="72"/>
  <c r="O15" i="72"/>
  <c r="K15" i="72"/>
  <c r="G16" i="72"/>
  <c r="C15" i="72"/>
  <c r="O14" i="72"/>
  <c r="K14" i="72"/>
  <c r="G15" i="72"/>
  <c r="C14" i="72"/>
  <c r="O13" i="72"/>
  <c r="K13" i="72"/>
  <c r="G14" i="72"/>
  <c r="C13" i="72"/>
  <c r="K12" i="72"/>
  <c r="G13" i="72"/>
  <c r="C12" i="72"/>
  <c r="K11" i="72"/>
  <c r="G12" i="72"/>
  <c r="C11" i="72"/>
  <c r="G11" i="72"/>
  <c r="C10" i="72"/>
  <c r="O9" i="72"/>
  <c r="K9" i="72"/>
  <c r="G10" i="72"/>
  <c r="C9" i="72"/>
  <c r="K8" i="72"/>
  <c r="G9" i="72"/>
  <c r="C8" i="72"/>
  <c r="O7" i="72"/>
  <c r="K7" i="72"/>
  <c r="G8" i="72"/>
  <c r="C7" i="72"/>
  <c r="K6" i="72"/>
  <c r="G7" i="72"/>
  <c r="C6" i="72"/>
  <c r="O5" i="72"/>
  <c r="K5" i="72"/>
  <c r="G6" i="72"/>
  <c r="C5" i="72"/>
  <c r="K4" i="72"/>
  <c r="G5" i="72"/>
  <c r="C4" i="72"/>
  <c r="O3" i="72"/>
  <c r="K3" i="72"/>
  <c r="G4" i="72"/>
  <c r="C3" i="72"/>
  <c r="K2" i="72"/>
  <c r="G2" i="72"/>
  <c r="C2" i="72"/>
  <c r="D40" i="25" l="1"/>
  <c r="E40" i="25" s="1"/>
  <c r="D28" i="20"/>
  <c r="E28" i="20" s="1"/>
  <c r="D29" i="17"/>
  <c r="E29" i="17" s="1"/>
  <c r="D43" i="16"/>
  <c r="E43" i="16" s="1"/>
  <c r="O61" i="72"/>
  <c r="O29" i="72"/>
  <c r="D49" i="47"/>
  <c r="E49" i="47" s="1"/>
  <c r="D25" i="40"/>
  <c r="E25" i="40" s="1"/>
  <c r="D28" i="24"/>
  <c r="E28" i="24" s="1"/>
  <c r="O114" i="72"/>
  <c r="O66" i="72"/>
  <c r="O42" i="72"/>
  <c r="O26" i="72"/>
  <c r="O24" i="72"/>
  <c r="D45" i="45"/>
  <c r="E45" i="45" s="1"/>
  <c r="D34" i="15"/>
  <c r="E34" i="15" s="1"/>
  <c r="D35" i="41"/>
  <c r="E35" i="41" s="1"/>
  <c r="D31" i="39"/>
  <c r="E31" i="39" s="1"/>
  <c r="D40" i="37"/>
  <c r="E40" i="37" s="1"/>
  <c r="D37" i="42"/>
  <c r="E37" i="42" s="1"/>
  <c r="D31" i="23"/>
  <c r="E31" i="23" s="1"/>
  <c r="D21" i="19"/>
  <c r="E21" i="19" s="1"/>
  <c r="O124" i="72"/>
  <c r="O89" i="72"/>
  <c r="D48" i="46"/>
  <c r="E48" i="46" s="1"/>
  <c r="D49" i="44"/>
  <c r="E49" i="44" s="1"/>
  <c r="D46" i="38"/>
  <c r="E46" i="38" s="1"/>
  <c r="D49" i="48"/>
  <c r="E49" i="48" s="1"/>
  <c r="D37" i="21"/>
  <c r="E37" i="21" s="1"/>
  <c r="D41" i="18"/>
  <c r="E41" i="18" s="1"/>
  <c r="O134" i="72"/>
  <c r="O118" i="72"/>
  <c r="D33" i="41"/>
  <c r="E33" i="41" s="1"/>
  <c r="D43" i="22"/>
  <c r="E43" i="22" s="1"/>
  <c r="D37" i="12"/>
  <c r="E37" i="12" s="1"/>
  <c r="O64" i="72"/>
  <c r="O32" i="72"/>
  <c r="O20" i="72"/>
  <c r="O18" i="72"/>
  <c r="O16" i="72"/>
  <c r="O10" i="72"/>
  <c r="O21" i="72"/>
  <c r="O23" i="72"/>
  <c r="D42" i="45"/>
  <c r="E42" i="45" s="1"/>
  <c r="D35" i="42"/>
  <c r="E35" i="42" s="1"/>
  <c r="O109" i="72"/>
  <c r="O101" i="72"/>
  <c r="O93" i="72"/>
  <c r="O45" i="72"/>
  <c r="D46" i="46"/>
  <c r="E46" i="46" s="1"/>
  <c r="D47" i="44"/>
  <c r="E47" i="44" s="1"/>
  <c r="D28" i="39"/>
  <c r="E28" i="39" s="1"/>
  <c r="D44" i="38"/>
  <c r="E44" i="38" s="1"/>
  <c r="D37" i="37"/>
  <c r="E37" i="37" s="1"/>
  <c r="O98" i="72"/>
  <c r="O90" i="72"/>
  <c r="O34" i="72"/>
  <c r="D34" i="42"/>
  <c r="E34" i="42" s="1"/>
  <c r="D39" i="18"/>
  <c r="E39" i="18" s="1"/>
  <c r="O95" i="72"/>
  <c r="O87" i="72"/>
  <c r="O55" i="72"/>
  <c r="D45" i="46"/>
  <c r="E45" i="46" s="1"/>
  <c r="D46" i="44"/>
  <c r="E46" i="44" s="1"/>
  <c r="D43" i="38"/>
  <c r="E43" i="38" s="1"/>
  <c r="O127" i="72"/>
  <c r="O119" i="72"/>
  <c r="O108" i="72"/>
  <c r="O100" i="72"/>
  <c r="O92" i="72"/>
  <c r="D46" i="48"/>
  <c r="E46" i="48" s="1"/>
  <c r="D38" i="18"/>
  <c r="E38" i="18" s="1"/>
  <c r="D27" i="17"/>
  <c r="E27" i="17" s="1"/>
  <c r="O132" i="72"/>
  <c r="O105" i="72"/>
  <c r="O81" i="72"/>
  <c r="O73" i="72"/>
  <c r="D47" i="47"/>
  <c r="E47" i="47" s="1"/>
  <c r="D23" i="40"/>
  <c r="E23" i="40" s="1"/>
  <c r="O94" i="72"/>
  <c r="D43" i="45"/>
  <c r="E43" i="45" s="1"/>
  <c r="O107" i="72"/>
  <c r="O91" i="72"/>
  <c r="D46" i="47"/>
  <c r="E46" i="47" s="1"/>
  <c r="D22" i="40"/>
  <c r="E22" i="40" s="1"/>
  <c r="D29" i="39"/>
  <c r="E29" i="39" s="1"/>
  <c r="D38" i="37"/>
  <c r="E38" i="37" s="1"/>
  <c r="O123" i="72"/>
  <c r="O104" i="72"/>
  <c r="O96" i="72"/>
  <c r="O48" i="72"/>
  <c r="O6" i="72"/>
  <c r="O2" i="72"/>
  <c r="O19" i="72"/>
  <c r="O60" i="72"/>
  <c r="D44" i="48"/>
  <c r="E44" i="48" s="1"/>
  <c r="D31" i="42"/>
  <c r="E31" i="42" s="1"/>
  <c r="D29" i="23"/>
  <c r="E29" i="23" s="1"/>
  <c r="D19" i="19"/>
  <c r="E19" i="19" s="1"/>
  <c r="D36" i="18"/>
  <c r="E36" i="18" s="1"/>
  <c r="D25" i="17"/>
  <c r="E25" i="17" s="1"/>
  <c r="D31" i="15"/>
  <c r="E31" i="15" s="1"/>
  <c r="F36" i="15" s="1"/>
  <c r="F43" i="15" s="1"/>
  <c r="O136" i="72"/>
  <c r="O37" i="72"/>
  <c r="D45" i="47"/>
  <c r="E45" i="47" s="1"/>
  <c r="D42" i="46"/>
  <c r="E42" i="46" s="1"/>
  <c r="D43" i="44"/>
  <c r="E43" i="44" s="1"/>
  <c r="D21" i="40"/>
  <c r="E21" i="40" s="1"/>
  <c r="D40" i="38"/>
  <c r="E40" i="38" s="1"/>
  <c r="O125" i="72"/>
  <c r="D43" i="48"/>
  <c r="E43" i="48" s="1"/>
  <c r="D41" i="45"/>
  <c r="E41" i="45" s="1"/>
  <c r="D35" i="21"/>
  <c r="E35" i="21" s="1"/>
  <c r="D18" i="19"/>
  <c r="E18" i="19" s="1"/>
  <c r="D35" i="18"/>
  <c r="E35" i="18" s="1"/>
  <c r="D24" i="17"/>
  <c r="E24" i="17" s="1"/>
  <c r="D44" i="47"/>
  <c r="E44" i="47" s="1"/>
  <c r="D31" i="41"/>
  <c r="E31" i="41" s="1"/>
  <c r="D20" i="40"/>
  <c r="E20" i="40" s="1"/>
  <c r="D27" i="39"/>
  <c r="E27" i="39" s="1"/>
  <c r="D36" i="37"/>
  <c r="E36" i="37" s="1"/>
  <c r="D35" i="12"/>
  <c r="E35" i="12" s="1"/>
  <c r="O84" i="72"/>
  <c r="D40" i="45"/>
  <c r="E40" i="45" s="1"/>
  <c r="D33" i="42"/>
  <c r="E33" i="42" s="1"/>
  <c r="D38" i="25"/>
  <c r="E38" i="25" s="1"/>
  <c r="D34" i="21"/>
  <c r="E34" i="21" s="1"/>
  <c r="D26" i="20"/>
  <c r="E26" i="20" s="1"/>
  <c r="D23" i="17"/>
  <c r="E23" i="17" s="1"/>
  <c r="D41" i="16"/>
  <c r="E41" i="16" s="1"/>
  <c r="O97" i="72"/>
  <c r="O49" i="72"/>
  <c r="D43" i="47"/>
  <c r="E43" i="47" s="1"/>
  <c r="D44" i="46"/>
  <c r="E44" i="46" s="1"/>
  <c r="D45" i="44"/>
  <c r="E45" i="44" s="1"/>
  <c r="D30" i="41"/>
  <c r="E30" i="41" s="1"/>
  <c r="D19" i="40"/>
  <c r="E19" i="40" s="1"/>
  <c r="D26" i="39"/>
  <c r="E26" i="39" s="1"/>
  <c r="D42" i="38"/>
  <c r="E42" i="38" s="1"/>
  <c r="D35" i="37"/>
  <c r="E35" i="37" s="1"/>
  <c r="D26" i="24"/>
  <c r="E26" i="24" s="1"/>
  <c r="D40" i="22"/>
  <c r="E40" i="22" s="1"/>
  <c r="D34" i="12"/>
  <c r="E34" i="12" s="1"/>
  <c r="D45" i="48"/>
  <c r="E45" i="48" s="1"/>
  <c r="D39" i="45"/>
  <c r="E39" i="45" s="1"/>
  <c r="D32" i="42"/>
  <c r="E32" i="42" s="1"/>
  <c r="D37" i="25"/>
  <c r="E37" i="25" s="1"/>
  <c r="D30" i="23"/>
  <c r="E30" i="23" s="1"/>
  <c r="D25" i="20"/>
  <c r="E25" i="20" s="1"/>
  <c r="D37" i="18"/>
  <c r="E37" i="18" s="1"/>
  <c r="D40" i="16"/>
  <c r="E40" i="16" s="1"/>
  <c r="D32" i="15"/>
  <c r="E32" i="15" s="1"/>
  <c r="O126" i="72"/>
  <c r="D43" i="46"/>
  <c r="E43" i="46" s="1"/>
  <c r="D44" i="44"/>
  <c r="E44" i="44" s="1"/>
  <c r="D29" i="41"/>
  <c r="E29" i="41" s="1"/>
  <c r="D25" i="39"/>
  <c r="E25" i="39" s="1"/>
  <c r="D41" i="38"/>
  <c r="E41" i="38" s="1"/>
  <c r="D34" i="37"/>
  <c r="E34" i="37" s="1"/>
  <c r="D25" i="24"/>
  <c r="E25" i="24" s="1"/>
  <c r="D39" i="22"/>
  <c r="E39" i="22" s="1"/>
  <c r="D48" i="48"/>
  <c r="E48" i="48" s="1"/>
  <c r="D36" i="21"/>
  <c r="E36" i="21" s="1"/>
  <c r="D40" i="18"/>
  <c r="E40" i="18" s="1"/>
  <c r="O85" i="72"/>
  <c r="D32" i="41"/>
  <c r="E32" i="41" s="1"/>
  <c r="D42" i="22"/>
  <c r="E42" i="22" s="1"/>
  <c r="D36" i="12"/>
  <c r="E36" i="12" s="1"/>
  <c r="O133" i="72"/>
  <c r="O50" i="72"/>
  <c r="D47" i="48"/>
  <c r="E47" i="48" s="1"/>
  <c r="D39" i="25"/>
  <c r="E39" i="25" s="1"/>
  <c r="D32" i="23"/>
  <c r="E32" i="23" s="1"/>
  <c r="D27" i="20"/>
  <c r="E27" i="20" s="1"/>
  <c r="D28" i="17"/>
  <c r="E28" i="17" s="1"/>
  <c r="D42" i="16"/>
  <c r="E42" i="16" s="1"/>
  <c r="O130" i="72"/>
  <c r="O111" i="72"/>
  <c r="O103" i="72"/>
  <c r="D48" i="47"/>
  <c r="E48" i="47" s="1"/>
  <c r="D24" i="40"/>
  <c r="E24" i="40" s="1"/>
  <c r="O116" i="72"/>
  <c r="D44" i="45"/>
  <c r="E44" i="45" s="1"/>
  <c r="D33" i="15"/>
  <c r="E33" i="15" s="1"/>
  <c r="O65" i="72"/>
  <c r="O41" i="72"/>
  <c r="D34" i="41"/>
  <c r="E34" i="41" s="1"/>
  <c r="D30" i="39"/>
  <c r="E30" i="39" s="1"/>
  <c r="D39" i="37"/>
  <c r="E39" i="37" s="1"/>
  <c r="O137" i="72"/>
  <c r="O129" i="72"/>
  <c r="D36" i="42"/>
  <c r="E36" i="42" s="1"/>
  <c r="D20" i="19"/>
  <c r="E20" i="19" s="1"/>
  <c r="O115" i="72"/>
  <c r="O99" i="72"/>
  <c r="D47" i="46"/>
  <c r="E47" i="46" s="1"/>
  <c r="D48" i="44"/>
  <c r="E48" i="44" s="1"/>
  <c r="D45" i="38"/>
  <c r="E45" i="38" s="1"/>
  <c r="D29" i="24"/>
  <c r="E29" i="24" s="1"/>
  <c r="O131" i="72"/>
  <c r="O88" i="72"/>
  <c r="O80" i="72"/>
  <c r="O12" i="72"/>
  <c r="O11" i="72"/>
  <c r="O22" i="72"/>
  <c r="O68" i="72"/>
  <c r="O78" i="72"/>
  <c r="O128" i="72"/>
  <c r="O120" i="72"/>
  <c r="O69" i="72"/>
  <c r="O53" i="72"/>
  <c r="O82" i="72"/>
  <c r="O74" i="72"/>
  <c r="O58" i="72"/>
  <c r="O122" i="72"/>
  <c r="D27" i="24"/>
  <c r="E27" i="24" s="1"/>
  <c r="D41" i="22"/>
  <c r="E41" i="22" s="1"/>
  <c r="O113" i="72"/>
  <c r="O121" i="72"/>
  <c r="O110" i="72"/>
  <c r="O102" i="72"/>
  <c r="O86" i="72"/>
  <c r="D26" i="17"/>
  <c r="E26" i="17" s="1"/>
  <c r="O56" i="72"/>
  <c r="O8" i="72"/>
  <c r="O4" i="72"/>
  <c r="O47" i="72"/>
  <c r="O30" i="72"/>
  <c r="O36" i="72"/>
  <c r="O27" i="72"/>
  <c r="O39" i="72"/>
  <c r="D44" i="16"/>
  <c r="E44" i="16" s="1"/>
  <c r="D30" i="17"/>
  <c r="E30" i="17" s="1"/>
  <c r="D29" i="20"/>
  <c r="E29" i="20" s="1"/>
  <c r="D41" i="25"/>
  <c r="E41" i="25" s="1"/>
  <c r="D38" i="12"/>
  <c r="E38" i="12" s="1"/>
  <c r="D44" i="22"/>
  <c r="E44" i="22" s="1"/>
  <c r="D30" i="24"/>
  <c r="E30" i="24" s="1"/>
  <c r="O76" i="72"/>
  <c r="O135" i="72"/>
  <c r="D47" i="38"/>
  <c r="E47" i="38" s="1"/>
  <c r="D50" i="44"/>
  <c r="E50" i="44" s="1"/>
  <c r="D49" i="46"/>
  <c r="E49" i="46" s="1"/>
  <c r="O63" i="72"/>
  <c r="O71" i="72"/>
  <c r="O79" i="72"/>
  <c r="D22" i="19"/>
  <c r="E22" i="19" s="1"/>
  <c r="D39" i="30"/>
  <c r="E39" i="30" s="1"/>
  <c r="F40" i="30" s="1"/>
  <c r="F52" i="30" s="1"/>
  <c r="D38" i="42"/>
  <c r="E38" i="42" s="1"/>
  <c r="O106" i="72"/>
  <c r="O117" i="72"/>
  <c r="D41" i="37"/>
  <c r="E41" i="37" s="1"/>
  <c r="D32" i="39"/>
  <c r="E32" i="39" s="1"/>
  <c r="D36" i="41"/>
  <c r="E36" i="41" s="1"/>
  <c r="O77" i="72"/>
  <c r="D35" i="15"/>
  <c r="E35" i="15" s="1"/>
  <c r="D33" i="23"/>
  <c r="E33" i="23" s="1"/>
  <c r="D46" i="45"/>
  <c r="E46" i="45" s="1"/>
  <c r="F53" i="30" l="1"/>
  <c r="F54" i="30" s="1"/>
  <c r="F33" i="39"/>
  <c r="F40" i="39" s="1"/>
  <c r="F30" i="20"/>
  <c r="F36" i="20" s="1"/>
  <c r="F51" i="47"/>
  <c r="F58" i="47" s="1"/>
  <c r="F48" i="38"/>
  <c r="F55" i="38" s="1"/>
  <c r="F44" i="15"/>
  <c r="F45" i="15" s="1"/>
  <c r="F37" i="41"/>
  <c r="F44" i="41" s="1"/>
  <c r="F43" i="18"/>
  <c r="F47" i="18" s="1"/>
  <c r="F23" i="19"/>
  <c r="F30" i="19" s="1"/>
  <c r="F50" i="46"/>
  <c r="F57" i="46" s="1"/>
  <c r="F34" i="23"/>
  <c r="F41" i="23" s="1"/>
  <c r="F45" i="22"/>
  <c r="F52" i="22" s="1"/>
  <c r="F47" i="45"/>
  <c r="F55" i="45" s="1"/>
  <c r="F27" i="40"/>
  <c r="F34" i="40" s="1"/>
  <c r="F31" i="17"/>
  <c r="F35" i="17" s="1"/>
  <c r="F39" i="42"/>
  <c r="F46" i="42" s="1"/>
  <c r="F51" i="44"/>
  <c r="F58" i="44" s="1"/>
  <c r="F31" i="24"/>
  <c r="F36" i="24" s="1"/>
  <c r="F42" i="25"/>
  <c r="F51" i="25" s="1"/>
  <c r="F42" i="37"/>
  <c r="F48" i="37" s="1"/>
  <c r="F45" i="16"/>
  <c r="F50" i="16" s="1"/>
  <c r="F41" i="12"/>
  <c r="F47" i="12" s="1"/>
  <c r="F39" i="21"/>
  <c r="F48" i="21" s="1"/>
  <c r="F51" i="48"/>
  <c r="F58" i="48" s="1"/>
  <c r="F46" i="15" l="1"/>
  <c r="F47" i="15" s="1"/>
  <c r="F48" i="15" s="1"/>
  <c r="E8" i="11" s="1"/>
  <c r="F8" i="11" s="1"/>
  <c r="F55" i="30"/>
  <c r="F56" i="30" s="1"/>
  <c r="F57" i="30" s="1"/>
  <c r="E23" i="11" s="1"/>
  <c r="F23" i="11" s="1"/>
  <c r="F52" i="16"/>
  <c r="F51" i="16"/>
  <c r="F56" i="45"/>
  <c r="F57" i="45" s="1"/>
  <c r="F49" i="37"/>
  <c r="F50" i="37" s="1"/>
  <c r="F53" i="22"/>
  <c r="F54" i="22" s="1"/>
  <c r="F57" i="38"/>
  <c r="F56" i="38"/>
  <c r="F42" i="23"/>
  <c r="F43" i="23" s="1"/>
  <c r="F37" i="24"/>
  <c r="F38" i="24" s="1"/>
  <c r="F58" i="46"/>
  <c r="F59" i="46" s="1"/>
  <c r="F38" i="20"/>
  <c r="F37" i="20"/>
  <c r="F52" i="25"/>
  <c r="F53" i="25" s="1"/>
  <c r="F59" i="44"/>
  <c r="F60" i="44"/>
  <c r="F31" i="19"/>
  <c r="F32" i="19"/>
  <c r="F42" i="39"/>
  <c r="F41" i="39"/>
  <c r="F48" i="12"/>
  <c r="F49" i="12" s="1"/>
  <c r="F59" i="48"/>
  <c r="F60" i="48" s="1"/>
  <c r="F47" i="42"/>
  <c r="F48" i="42" s="1"/>
  <c r="F49" i="18"/>
  <c r="F48" i="18"/>
  <c r="F35" i="40"/>
  <c r="F36" i="40" s="1"/>
  <c r="F59" i="47"/>
  <c r="F60" i="47" s="1"/>
  <c r="F49" i="21"/>
  <c r="F50" i="21" s="1"/>
  <c r="F37" i="17"/>
  <c r="F36" i="17"/>
  <c r="F45" i="41"/>
  <c r="F46" i="41" s="1"/>
  <c r="F61" i="48" l="1"/>
  <c r="F62" i="48" s="1"/>
  <c r="F63" i="48" s="1"/>
  <c r="E40" i="11" s="1"/>
  <c r="F40" i="11" s="1"/>
  <c r="F55" i="22"/>
  <c r="F56" i="22" s="1"/>
  <c r="F57" i="22" s="1"/>
  <c r="E15" i="11" s="1"/>
  <c r="F15" i="11" s="1"/>
  <c r="F51" i="21"/>
  <c r="F52" i="21" s="1"/>
  <c r="F53" i="21" s="1"/>
  <c r="E14" i="11" s="1"/>
  <c r="F14" i="11" s="1"/>
  <c r="F44" i="23"/>
  <c r="F45" i="23" s="1"/>
  <c r="F46" i="23" s="1"/>
  <c r="E16" i="11" s="1"/>
  <c r="F16" i="11" s="1"/>
  <c r="F47" i="41"/>
  <c r="F48" i="41" s="1"/>
  <c r="F49" i="41" s="1"/>
  <c r="E34" i="11" s="1"/>
  <c r="F34" i="11" s="1"/>
  <c r="F49" i="42"/>
  <c r="F50" i="42" s="1"/>
  <c r="F51" i="42" s="1"/>
  <c r="E35" i="11" s="1"/>
  <c r="F35" i="11" s="1"/>
  <c r="F54" i="25"/>
  <c r="F55" i="25" s="1"/>
  <c r="F56" i="25" s="1"/>
  <c r="E18" i="11" s="1"/>
  <c r="F18" i="11" s="1"/>
  <c r="F50" i="12"/>
  <c r="F51" i="12" s="1"/>
  <c r="F52" i="12" s="1"/>
  <c r="E7" i="11" s="1"/>
  <c r="F7" i="11" s="1"/>
  <c r="G71" i="11" s="1"/>
  <c r="F51" i="37"/>
  <c r="F52" i="37" s="1"/>
  <c r="F53" i="37" s="1"/>
  <c r="E30" i="11" s="1"/>
  <c r="F30" i="11" s="1"/>
  <c r="F58" i="45"/>
  <c r="F59" i="45" s="1"/>
  <c r="F60" i="45" s="1"/>
  <c r="E37" i="11" s="1"/>
  <c r="F37" i="11" s="1"/>
  <c r="F61" i="47"/>
  <c r="F62" i="47" s="1"/>
  <c r="F63" i="47" s="1"/>
  <c r="E39" i="11" s="1"/>
  <c r="F39" i="11" s="1"/>
  <c r="F60" i="46"/>
  <c r="F61" i="46" s="1"/>
  <c r="F62" i="46" s="1"/>
  <c r="E38" i="11" s="1"/>
  <c r="F38" i="11" s="1"/>
  <c r="F37" i="40"/>
  <c r="F38" i="40" s="1"/>
  <c r="F39" i="40" s="1"/>
  <c r="E33" i="11" s="1"/>
  <c r="F33" i="11" s="1"/>
  <c r="F39" i="24"/>
  <c r="F40" i="24"/>
  <c r="F41" i="24" s="1"/>
  <c r="E17" i="11" s="1"/>
  <c r="F17" i="11" s="1"/>
  <c r="F50" i="18"/>
  <c r="F51" i="18" s="1"/>
  <c r="F52" i="18" s="1"/>
  <c r="E11" i="11" s="1"/>
  <c r="F11" i="11" s="1"/>
  <c r="F43" i="39"/>
  <c r="F44" i="39" s="1"/>
  <c r="F45" i="39" s="1"/>
  <c r="E32" i="11" s="1"/>
  <c r="F32" i="11" s="1"/>
  <c r="F39" i="20"/>
  <c r="F40" i="20" s="1"/>
  <c r="F41" i="20" s="1"/>
  <c r="E13" i="11" s="1"/>
  <c r="F13" i="11" s="1"/>
  <c r="F58" i="38"/>
  <c r="F59" i="38" s="1"/>
  <c r="F60" i="38" s="1"/>
  <c r="E31" i="11" s="1"/>
  <c r="F31" i="11" s="1"/>
  <c r="F53" i="16"/>
  <c r="F54" i="16" s="1"/>
  <c r="F55" i="16" s="1"/>
  <c r="E9" i="11" s="1"/>
  <c r="F9" i="11" s="1"/>
  <c r="F33" i="19"/>
  <c r="F34" i="19" s="1"/>
  <c r="F35" i="19" s="1"/>
  <c r="E12" i="11" s="1"/>
  <c r="F12" i="11" s="1"/>
  <c r="F38" i="17"/>
  <c r="F39" i="17" s="1"/>
  <c r="F40" i="17" s="1"/>
  <c r="E10" i="11" s="1"/>
  <c r="F10" i="11" s="1"/>
  <c r="F61" i="44"/>
  <c r="F62" i="44" s="1"/>
  <c r="F63" i="44" s="1"/>
  <c r="E36" i="11" s="1"/>
  <c r="F36" i="11" s="1"/>
  <c r="G74" i="11" l="1"/>
  <c r="G75" i="11" s="1"/>
  <c r="G76" i="11" s="1"/>
  <c r="G73" i="11"/>
  <c r="G72" i="11"/>
  <c r="K10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5" authorId="0" shapeId="0" xr:uid="{0F18D247-3A8A-412E-9873-81F00570C2F9}">
      <text>
        <r>
          <rPr>
            <sz val="11"/>
            <color theme="1"/>
            <rFont val="Calibri"/>
            <family val="2"/>
            <scheme val="minor"/>
          </rPr>
          <t>Cantidad de referencia para una alcantarilla de 36 in x 6 m. Debe ajustarse al plano/detalle OCENSA definitivo.</t>
        </r>
      </text>
    </comment>
    <comment ref="B36" authorId="0" shapeId="0" xr:uid="{BEE10044-6F67-4390-A4B8-A360F87D5669}">
      <text>
        <r>
          <rPr>
            <sz val="11"/>
            <color theme="1"/>
            <rFont val="Calibri"/>
            <family val="2"/>
            <scheme val="minor"/>
          </rPr>
          <t>Cantidad tomada como referencia intermedia de diseños colombianos comparables; no sustituye el despiece estructural OCENSA.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52" authorId="0" shapeId="0" xr:uid="{BBB3A6F5-E06F-4645-AC8A-89BD2FBAEBC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Tarifa tomada de la lista existente de equipos y transporte.</t>
        </r>
      </text>
    </comment>
    <comment ref="D54" authorId="0" shapeId="0" xr:uid="{DDC45431-256F-407A-AA40-287631DFAA8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Tarifa homologada con Moto niveladora registrada en la tabla maestra.</t>
        </r>
      </text>
    </comment>
  </commentList>
</comments>
</file>

<file path=xl/sharedStrings.xml><?xml version="1.0" encoding="utf-8"?>
<sst xmlns="http://schemas.openxmlformats.org/spreadsheetml/2006/main" count="3776" uniqueCount="814">
  <si>
    <t>ITEM</t>
  </si>
  <si>
    <t>Jorge Figueroa Castro</t>
  </si>
  <si>
    <t xml:space="preserve">Representate Legal </t>
  </si>
  <si>
    <t>DESCRIPCION</t>
  </si>
  <si>
    <t>REPRESENTACIONES FIGUEROA CASTRO S.A.S                                                                                                                                                                                               NIT: 900.708.094-7</t>
  </si>
  <si>
    <t>UNIDAD</t>
  </si>
  <si>
    <t>CANTIDAD</t>
  </si>
  <si>
    <t>VALOR UNITARIO</t>
  </si>
  <si>
    <t>SUBTOTAL</t>
  </si>
  <si>
    <t>TOTAL COSTO DE OBRA</t>
  </si>
  <si>
    <t>SEÑORES</t>
  </si>
  <si>
    <t>GLOBAL</t>
  </si>
  <si>
    <t>MASSY ENERGY</t>
  </si>
  <si>
    <t>ESTACION DE REBOMBEO OCENSA LA TRAMPA CAUCASIA ANTIOQUIA</t>
  </si>
  <si>
    <t>TIEMPO DE ENTREGA:15 DIAS HABILES</t>
  </si>
  <si>
    <t>FORMA DE PAGO : 30 DIAS CALENDARIOS DESPUES DE RADICADA LA FACTURA DEL SERVICIO REALIZADO EN LA FECHA</t>
  </si>
  <si>
    <t>COTIZACION VALIDA POR 30 DIAS CALENDARIOS</t>
  </si>
  <si>
    <t>COT- 113-2026</t>
  </si>
  <si>
    <t>EXCAVACIONES Y CONSTRUCCION DE OBRAS CIVILES EN LAS ZONAS DE PROCESO DE LAS ESTACIONES CAUCASIA Y GRANJITA.</t>
  </si>
  <si>
    <t>TRAZADO, LOCALIZACIÓN Y REPLANTEO</t>
  </si>
  <si>
    <t>CERRAMIENTO PROVISIONAL EN POSTES Y TELAS TEJIDAS CON FIBRA DE POLIPROPILENO</t>
  </si>
  <si>
    <t>CAMPAMENTO DE OBRA</t>
  </si>
  <si>
    <t>ARMADO, UTILIZACIÓN Y DESINSTALACIÓN DE ANDAMIOS TIPO LAYHER</t>
  </si>
  <si>
    <t>REPLANTEO TOPOGRÁFICO</t>
  </si>
  <si>
    <t>ACARREO DE MATERIAL HASTA BOTADERO</t>
  </si>
  <si>
    <t>MANEJO Y MOVIMIENTO DE TIERRAS DENTRO DE LA ESTACIÓN</t>
  </si>
  <si>
    <t>EXCAVACIÓN MANUAL MENOR A 1,20 MTS.</t>
  </si>
  <si>
    <t>EXCAVACIÓN MANUAL MAYOR A 1,20 MTS.</t>
  </si>
  <si>
    <t>EXCAVACIÓN MECÁNICA SIN PRESENCIA DE TUBERÍA O FACILIDAD ENTERRADA</t>
  </si>
  <si>
    <t>EXCAVACIÓN MECÁNICA CON PRESENCIA DE TUBERÍA O FACILIDAD ENTERRADA</t>
  </si>
  <si>
    <t>DEMOLICIÓN CONCRETO Y/O ROCA CON MARTILLO NEUMÁTICO</t>
  </si>
  <si>
    <t>RELLENO MANUAL COMPACTADO - MATERIAL DEL SITIO, PRODUCTO DE EXCAVACIÓN</t>
  </si>
  <si>
    <t>RELLENO MECÁNICO COMPACTADO CON MATERIAL DEL SITIO</t>
  </si>
  <si>
    <t>RELLENO CON MATERIAL SELECCIONADO</t>
  </si>
  <si>
    <t>SUMINISTRO Y COLOCACIÓN DE AFIRMADO</t>
  </si>
  <si>
    <t xml:space="preserve">SUMINISTRO E INSTALACIÓN DE PAVIMENTO FLEXIBLE </t>
  </si>
  <si>
    <t>SUMINISTRO E INSTALACION DE GRAVILLA EN ÁREA INDUSTRIAL</t>
  </si>
  <si>
    <t>SUMINISTRO E INSTALACION DE ADOQUIN EN ÁREA INDUSTRIAL</t>
  </si>
  <si>
    <t>SUMINISTRO E INSTALACION LADRILLO TOLETE PARA VÍAS EN ÁREA INDUSTRIAL</t>
  </si>
  <si>
    <t>REVEGETALIZACIÓN POR CESPEDÓN EN ÁREA INDUSTRIAL</t>
  </si>
  <si>
    <t>ESCARIFICACIÓN, CUNETEO Y COMPACTACIÓN DE VÍAS</t>
  </si>
  <si>
    <t>CONSTRUCCIÓN DE ALCANTARILLA DE 30" A 36" L= 6 M</t>
  </si>
  <si>
    <t xml:space="preserve">CANAL EN PIEDRA PEGADA </t>
  </si>
  <si>
    <t>SUMINISTRO E INSTALACIÓN DE GEODRÉN PLANAR</t>
  </si>
  <si>
    <t>SUMINISTRO Y COLOCACIÓN DE GEOTEXTIL</t>
  </si>
  <si>
    <t>SUMINISTRO Y COLOCACIÓN DE GEOMEMBRANA</t>
  </si>
  <si>
    <t>SUMINISTRO, COLOCACIÓN Y RETIRO DE ENTIBADO EN ZANJA</t>
  </si>
  <si>
    <t>CONSTRUCCIÓN DE GAVIONES EN PIEDRA</t>
  </si>
  <si>
    <t>CONSTRUCCIÓN DE GAVIONES EN SACOS SUELO-CEMENTO</t>
  </si>
  <si>
    <t>DEMOLICIÓN DE GAVIONES</t>
  </si>
  <si>
    <t>CONSTRUCCIÓN DE DIQUES EN SACOS DE POLIPROPILENO</t>
  </si>
  <si>
    <t>TRINCHOS EN MADERA</t>
  </si>
  <si>
    <t>DRENAJE DE AGUAS CON MOTOBOMBA EN EXCAVACIONES</t>
  </si>
  <si>
    <t xml:space="preserve">INSTALACION DE TUBERIA DE DESAGÜE TEMPORAL </t>
  </si>
  <si>
    <t xml:space="preserve">CONCRETO SIMPLE DE 3000 PSI </t>
  </si>
  <si>
    <t>CONCRETO SIMPLE DE 3000 PSI  EN ESPACIOS CONFINADOS Y/O ALTURAS</t>
  </si>
  <si>
    <t xml:space="preserve">CONCRETO CICLÓPEO </t>
  </si>
  <si>
    <t>ACERO DE REFUERZO 60000 PSI</t>
  </si>
  <si>
    <t>ACERO DE REFUERZO 60000 PSI EN ESPACIOS CONFINADOS Y/O ALTURAS</t>
  </si>
  <si>
    <t>MAMPOSTERÍA EN LADRILLO TOLETE COMÚN</t>
  </si>
  <si>
    <t>MORTERO 1:3</t>
  </si>
  <si>
    <t>MORTERO IMPERMEABILIZADO</t>
  </si>
  <si>
    <t>INSTALACIÓN Y SUMINISTRO DE CONCRETO PARA BANCOS DE DUCTOS</t>
  </si>
  <si>
    <t>REPARACIÓN Y/O REMPLAZO DE JUNTAS DE DILATACIÓN ENTRE CONCRETOS ESPESOR ≤ 1cm</t>
  </si>
  <si>
    <t>REPARACIÓN Y/O REMPLAZO DE JUNTAS DE DILATACIÓN ENTRE CONCRETOS ESPESOR &gt; 1cm</t>
  </si>
  <si>
    <t>REPARACIÓN DE GRIETAS EN PAVIMENTO FLEXIBLE</t>
  </si>
  <si>
    <t>REPARACIÓN DE GRIETAS EN PAVIMENTO RÍGIDO O EN ELEMENTOS DE CONCRETO</t>
  </si>
  <si>
    <t>RETIRO DE LASTRADO DE TUBERÍA, TRASLADO Y DISPOSICIÓN DE ESCOMBROS</t>
  </si>
  <si>
    <t>PREPARACIÓN DE SUPERFICIE Y APLICACIÓN DE RECUBRIMIENTO EN TUBERÍA Y ACCESORIOS ENTERRADOS SEGÚN ESTANDAR DE OCENSA TPT-STD-013</t>
  </si>
  <si>
    <t>PREPARACIÓN DE SUPERFICIE DE TUBERÍAS METÁLICAS ENTERRADAS PARA INSPECCIÓN</t>
  </si>
  <si>
    <t>SUMINISTRO  E INSTALACIÓN DE TUBERÍA HDPE DE DIÁMETRO HASTA 4" EN ÁREA INDUSTRIAL</t>
  </si>
  <si>
    <t>SUMINISTRO  E INSTALACIÓN DE TUBERÍA PVC DE DIÁMETRO  DESDE  1\2" A 2" EN ÁREA INDUSTRIAL</t>
  </si>
  <si>
    <t>SUMINISTRO  E INSTALACIÓN DE TUBERÍA PVC DE DIÁMETRO DESDE 2 1\4" HASTA 4" EN ÁREA INDUSTRIAL</t>
  </si>
  <si>
    <t>UMM MECÁNICA PAILERÍA EN EXCAVACIONES</t>
  </si>
  <si>
    <t xml:space="preserve">UMM IZAJE DE CARGAS </t>
  </si>
  <si>
    <t>IMPERMEABILIZACIÓN DE TECHO TERRAZA CONCRETO</t>
  </si>
  <si>
    <t xml:space="preserve">IMPERMEABILIZACIÓN DE MUROS </t>
  </si>
  <si>
    <t>CAMBIO DE TECHOS EN CUBIERTA METÁLICA ÁREA DE PROCESO</t>
  </si>
  <si>
    <t>CAMBIO DE TECHOS EN CUBIERTA TIPO ETERNIT ÁREA DE PROCESO</t>
  </si>
  <si>
    <t xml:space="preserve">SUMINISTRO E INSTALACION DE CUBIERTAS TERMOACUSTICAS </t>
  </si>
  <si>
    <t>SUMINISTRO E INSTALACIÓN DE CANALES Y BAJANTES PARA MANEJO DE AGUAS LLUVIAS EN ÁREAS DE PROCESO</t>
  </si>
  <si>
    <t>IMPERMEABILIZACIÓN DE CUBIERTAS METALICAS EN AREAS DE PROCESO</t>
  </si>
  <si>
    <t>EQUIPOS</t>
  </si>
  <si>
    <t>CANT</t>
  </si>
  <si>
    <t>REND/DIA</t>
  </si>
  <si>
    <t>TARIFA/DIA</t>
  </si>
  <si>
    <t>VR.PARCIAL</t>
  </si>
  <si>
    <t>unidad</t>
  </si>
  <si>
    <t>MANO DE OBRA</t>
  </si>
  <si>
    <t>SALARIO</t>
  </si>
  <si>
    <t>cargo</t>
  </si>
  <si>
    <t>salario dia</t>
  </si>
  <si>
    <t>trasporte</t>
  </si>
  <si>
    <t>sub total</t>
  </si>
  <si>
    <r>
      <t>interes cesantias 1</t>
    </r>
    <r>
      <rPr>
        <b/>
        <strike/>
        <sz val="8"/>
        <color theme="1"/>
        <rFont val="Calibri"/>
        <family val="2"/>
        <scheme val="minor"/>
      </rPr>
      <t>%/cesanti</t>
    </r>
  </si>
  <si>
    <t>prima 8,34%</t>
  </si>
  <si>
    <t>vaciones 4,17%</t>
  </si>
  <si>
    <t>riesgo prof 6,960%</t>
  </si>
  <si>
    <t>icbf 3%</t>
  </si>
  <si>
    <t>sena 2%</t>
  </si>
  <si>
    <t>caja 4%</t>
  </si>
  <si>
    <t>pensión 16%</t>
  </si>
  <si>
    <t>personal</t>
  </si>
  <si>
    <t>dias</t>
  </si>
  <si>
    <t>t s.m.trabajador</t>
  </si>
  <si>
    <t>hora ordinaria</t>
  </si>
  <si>
    <t>25% ext diurna</t>
  </si>
  <si>
    <t>tiempo</t>
  </si>
  <si>
    <t>75%extra noc</t>
  </si>
  <si>
    <t>aux alimentacion</t>
  </si>
  <si>
    <t>insidencia</t>
  </si>
  <si>
    <t>salud y pensiòn 8%</t>
  </si>
  <si>
    <t>hidratación</t>
  </si>
  <si>
    <t>medico</t>
  </si>
  <si>
    <t>hotel</t>
  </si>
  <si>
    <t>alimentacion</t>
  </si>
  <si>
    <t>otros</t>
  </si>
  <si>
    <t>DOTACION</t>
  </si>
  <si>
    <t>v/dia</t>
  </si>
  <si>
    <t>TABLA SALARIAL DE LA INDUSTRIA OCENSA</t>
  </si>
  <si>
    <t>NIVEL 6</t>
  </si>
  <si>
    <t>NIVEL 2</t>
  </si>
  <si>
    <t>NIVEL 5</t>
  </si>
  <si>
    <t>NIVEL 4</t>
  </si>
  <si>
    <t>NIVEL 3</t>
  </si>
  <si>
    <t>NIVEL 1</t>
  </si>
  <si>
    <t>cesantias</t>
  </si>
  <si>
    <t>eps 12,5</t>
  </si>
  <si>
    <t>1,90% dominical</t>
  </si>
  <si>
    <t>descripcion</t>
  </si>
  <si>
    <t>v/unitario</t>
  </si>
  <si>
    <t>overol inifugo</t>
  </si>
  <si>
    <t>camisa dril</t>
  </si>
  <si>
    <t>pantalon dril</t>
  </si>
  <si>
    <t>casco de seguridad</t>
  </si>
  <si>
    <t>casco con barbuquejo</t>
  </si>
  <si>
    <t>capuchon</t>
  </si>
  <si>
    <t>tapaoido desch</t>
  </si>
  <si>
    <t>tapa oido tipo copa</t>
  </si>
  <si>
    <t>gafas de seguridad</t>
  </si>
  <si>
    <t>careta 3M</t>
  </si>
  <si>
    <t>filtros 3M</t>
  </si>
  <si>
    <t>guante de vaqueta</t>
  </si>
  <si>
    <t>guante tipo soldador</t>
  </si>
  <si>
    <t>guante nitrilo</t>
  </si>
  <si>
    <t>guante presicion</t>
  </si>
  <si>
    <t>delantal de carnaza</t>
  </si>
  <si>
    <t>mangas de carnaza</t>
  </si>
  <si>
    <t>polanas de carnaza</t>
  </si>
  <si>
    <t>rodilleras</t>
  </si>
  <si>
    <t xml:space="preserve">botas tipo soldador </t>
  </si>
  <si>
    <t>botas tipo obrero</t>
  </si>
  <si>
    <t>botas tipo ingeniero</t>
  </si>
  <si>
    <t>botas de caucho</t>
  </si>
  <si>
    <t>traje para invierno</t>
  </si>
  <si>
    <t>traje tiber</t>
  </si>
  <si>
    <t>DOTACION A 240 DIAS CALENDARIOS NOVIEMBRE 01 2026 A 30 JUNIO 2027</t>
  </si>
  <si>
    <t>tapa boca desechable 3M</t>
  </si>
  <si>
    <t>M2</t>
  </si>
  <si>
    <t>ML</t>
  </si>
  <si>
    <t>SEC-DIA</t>
  </si>
  <si>
    <t>JORNADA</t>
  </si>
  <si>
    <t>M3/KM</t>
  </si>
  <si>
    <t>M3</t>
  </si>
  <si>
    <t>UN</t>
  </si>
  <si>
    <t>HORA</t>
  </si>
  <si>
    <t>KG</t>
  </si>
  <si>
    <t>CERRAMIENTO PROVISIONAL</t>
  </si>
  <si>
    <t>global</t>
  </si>
  <si>
    <t xml:space="preserve">jornada </t>
  </si>
  <si>
    <t>m3/km</t>
  </si>
  <si>
    <t>ACARREO MATERIAL BOTADERO</t>
  </si>
  <si>
    <t>MOVIMIENTO DE TIERRA INTERNO</t>
  </si>
  <si>
    <t>EXCAVACIÓN MANUAL MENOR A 1,20MTS</t>
  </si>
  <si>
    <t>EXCAVACIÓN MANUAL MAYOR A 1,20MTS</t>
  </si>
  <si>
    <t xml:space="preserve">EXCAVACIÓN MECANICA SIN PRESENCIA DE TUBERÍA O FACILIDAD ENTERRADA </t>
  </si>
  <si>
    <t xml:space="preserve">EXCAVACIÓN MECANICA CON PRESENCIA DE TUBERÍA O FACILIDAD ENTERRADA </t>
  </si>
  <si>
    <t xml:space="preserve">DEMOLICIÓN CONCRETO Y/O ROCA CON MARTILLO NEUMÁTICO  </t>
  </si>
  <si>
    <t xml:space="preserve">RELLENO MANUAL COMPACTADO-MATERIAL DE SITIO, PRODUCTO DE EXCAVACIÓN </t>
  </si>
  <si>
    <t xml:space="preserve">RELLENO MECÁNICO COMPACTADO CON MATERIAL DE SITIO </t>
  </si>
  <si>
    <t xml:space="preserve">RELLENO CON MATERIAL SELECCIONADO </t>
  </si>
  <si>
    <t xml:space="preserve">SUMINISTRO Y COLOCACIÓN DE AFIRMADO </t>
  </si>
  <si>
    <t xml:space="preserve">SUMINISTRO E INSTALACIÓN DE GRAVILLA EN ÁREA INDUSTRIAL </t>
  </si>
  <si>
    <t xml:space="preserve">SUMINISTRO E INSTALACIÓN DE ADOQUIN EN ÁREA INDUSTRIAL </t>
  </si>
  <si>
    <t xml:space="preserve">REVEGETALIZACIÓN POR CESPEDÓN EN ÁREA INDUSTRIAL </t>
  </si>
  <si>
    <t xml:space="preserve">ESCARIFICACIÓN, CUNETEO Y COMPACTACIÓN DE VÍAS </t>
  </si>
  <si>
    <t>CONSTRUCIÓN DE ALCANTARILLA DE 30" A 36" L=6M</t>
  </si>
  <si>
    <t xml:space="preserve">SUMINISTRO E INSTALACIÓN DE GEODRÉN PLANAR </t>
  </si>
  <si>
    <t xml:space="preserve">SUMINISTRO Y COLOCACIÓN DE GEOMEMBRANA </t>
  </si>
  <si>
    <t xml:space="preserve">SUMINISTRO, COLOCACIÓN Y RETIRO DE ENTIBADO EN ZANJA </t>
  </si>
  <si>
    <t xml:space="preserve">CONSTRUCIÓ DE GAVIONES EN PIEDRA  </t>
  </si>
  <si>
    <t xml:space="preserve">CONSTRUCCIÓN DE GAVIONES EN SACOS, SUELO-CEMENTO   </t>
  </si>
  <si>
    <t xml:space="preserve">DEMOLICIÓN DE GAVIONES </t>
  </si>
  <si>
    <t xml:space="preserve">TRINCHOS EN MADERA </t>
  </si>
  <si>
    <t xml:space="preserve">DRENAJES DE AGUAS CON MOTOBOMBA EN EXCAVACIONES </t>
  </si>
  <si>
    <t xml:space="preserve">INSTALACIÓN DE TUBERÍA DE DESAGUE TEMPORAL </t>
  </si>
  <si>
    <t xml:space="preserve">CONCRETO SIMPLE DE 3000 PSI EN ESPACIOS CONFINADOS Y/O ALTURAS </t>
  </si>
  <si>
    <t xml:space="preserve">CONCRETO CICLÓPEO  </t>
  </si>
  <si>
    <t xml:space="preserve">ACERO DE REFUERZO DE 60000 PSI  </t>
  </si>
  <si>
    <t xml:space="preserve">ACERO DE EREFUERZO DE 60000 PSI EN ESPACIOS CONFINADOS Y/O ALTURAS </t>
  </si>
  <si>
    <t xml:space="preserve">MAMPOSTERÍA EN LADRILLO TOLETE COMÚN  </t>
  </si>
  <si>
    <t xml:space="preserve">MORTERO 1:3  </t>
  </si>
  <si>
    <t xml:space="preserve">MORTERO IMPERMEABILIZADO </t>
  </si>
  <si>
    <t xml:space="preserve">INSTALACIÓN Y SUMINISTRO DE CONCRETO PARA BANCOS DE DUCTOS  </t>
  </si>
  <si>
    <t>REPARACIÓN Y/O REMPLAZO DE JUNTAS DE DILATRACIÓN ENTRE CONCRETOS ESPESOR &lt; 1CM</t>
  </si>
  <si>
    <t>REPARACIÓN Y/O REMPLAZO DE JUNTAS DE DILATRACIÓN ENTRE CONCRETOS ESPESOR &gt; 1CM</t>
  </si>
  <si>
    <t xml:space="preserve">REPARACIÓN DE GRIETAS EN PAVIMENTO FLEXIBLE </t>
  </si>
  <si>
    <t xml:space="preserve">REPARACIÓN DE GRIETAS EN PAVIMENTO RÍGIDO O EN ELEMENTOS DE CONCRETO </t>
  </si>
  <si>
    <t xml:space="preserve">RETIRO DE LASTRADO DE TUBERÍA, TRASLADO Y DISPOSICION DE ESCOMBROS </t>
  </si>
  <si>
    <t xml:space="preserve">SUMINISTRO E INSTALACIÓN DE TUBERÍA HDPE DE DIÁMETRO HASTA 4" EN ÁREA INDUSTRIAL </t>
  </si>
  <si>
    <t xml:space="preserve">SUMINISTRO E INSTALACIÓN DE TUBERÍA PVC DE DIÁMETRO DESDE 1/2" A 2" EN ÁREA INDUSTRIAL </t>
  </si>
  <si>
    <t xml:space="preserve">UMM MECÁNICA  PAILERÍA EN EXCAVACIONES </t>
  </si>
  <si>
    <t xml:space="preserve">UMM IZAJE DE CARGAS  </t>
  </si>
  <si>
    <t>TRAZADO,  LOCALIZACIÓN Y REPLANTEO</t>
  </si>
  <si>
    <t>ARMADO, UTILIZACIÓN  Y DESARMADO DE ANDAMIOS TIPO LAYDER</t>
  </si>
  <si>
    <t xml:space="preserve">CONSTRUCIÓN DE DIQUES EN SACOS DE POLIPROPILENO </t>
  </si>
  <si>
    <t xml:space="preserve">PREPARACIÓN DE SUPERFICIE DE TUBERÍAS METÁLICAS ENTERRADAS PARA INSPECCIÓN </t>
  </si>
  <si>
    <t xml:space="preserve">SUMINISTRO E INSTALACIÓN DE TUBERÍA PVC DE DIÁMETRO DESDE 2 1/4" HASTA 4" EN ÁREA INDUSTRIAL  </t>
  </si>
  <si>
    <t>retro excavadora de llanta</t>
  </si>
  <si>
    <t>ADMINISTRACION 12%</t>
  </si>
  <si>
    <t>IMPREVISTOS 4%</t>
  </si>
  <si>
    <t>UTILIDAD 4%</t>
  </si>
  <si>
    <t>IVA19%/UTILIDAD</t>
  </si>
  <si>
    <t>Auxiliar Administrativo</t>
  </si>
  <si>
    <t>Herramientero</t>
  </si>
  <si>
    <t>Machete</t>
  </si>
  <si>
    <t>Martillo</t>
  </si>
  <si>
    <t>Pala</t>
  </si>
  <si>
    <t>Barra</t>
  </si>
  <si>
    <t>Carretilla</t>
  </si>
  <si>
    <t>Sierra circular</t>
  </si>
  <si>
    <t>Paladraga</t>
  </si>
  <si>
    <t>Alicate diablo</t>
  </si>
  <si>
    <t>Alicate universal</t>
  </si>
  <si>
    <t>Andamios Layher</t>
  </si>
  <si>
    <t>Arnés de seguridad</t>
  </si>
  <si>
    <t>Línea de vida</t>
  </si>
  <si>
    <t>Nivel torpedo</t>
  </si>
  <si>
    <t>Equipo de topografía</t>
  </si>
  <si>
    <t>Colombina</t>
  </si>
  <si>
    <t>Camión doble cabina</t>
  </si>
  <si>
    <t>Acarreo por km</t>
  </si>
  <si>
    <t>Avisos de seguridad</t>
  </si>
  <si>
    <t>Plástico negro</t>
  </si>
  <si>
    <t>Retroexcavadora con llantas</t>
  </si>
  <si>
    <t>Volqueta de 14 m³</t>
  </si>
  <si>
    <t>Retroexcavadora de oruga</t>
  </si>
  <si>
    <t>Martillo demoledor neumático/eléctrico</t>
  </si>
  <si>
    <t>Rodillo tipo Benitín</t>
  </si>
  <si>
    <t>Vibrocompactador tipo rana</t>
  </si>
  <si>
    <t>Vibrocompactador tipo canguro</t>
  </si>
  <si>
    <t>Pica</t>
  </si>
  <si>
    <t>Palín</t>
  </si>
  <si>
    <t>Listón de madera 2 x 4 x 3</t>
  </si>
  <si>
    <t>Listón de madera 2 x 1 x 3</t>
  </si>
  <si>
    <t>Cal</t>
  </si>
  <si>
    <t>Nailon de color</t>
  </si>
  <si>
    <t>Puntilla de 2,5"</t>
  </si>
  <si>
    <t>Puntilla de 3,5"</t>
  </si>
  <si>
    <t>Clavo de acero de 3"</t>
  </si>
  <si>
    <t>Pintura en aerosol</t>
  </si>
  <si>
    <t>Cinta de seguridad amarilla/negra x 500</t>
  </si>
  <si>
    <t>Grapa</t>
  </si>
  <si>
    <t>Alambre HG calibre 14</t>
  </si>
  <si>
    <t>Tela verde de 2 metros</t>
  </si>
  <si>
    <t>Broca tipo pala</t>
  </si>
  <si>
    <t>Broca tipo punta</t>
  </si>
  <si>
    <t>Aceite lubricante</t>
  </si>
  <si>
    <t>EQUIPOS Y HERRAMIENTAS</t>
  </si>
  <si>
    <t>TARIFA</t>
  </si>
  <si>
    <t>MATERIALES</t>
  </si>
  <si>
    <t>PRECIO</t>
  </si>
  <si>
    <t>Capataz</t>
  </si>
  <si>
    <t>Hse</t>
  </si>
  <si>
    <t>Oficial construccion</t>
  </si>
  <si>
    <t>Auxiliar civil</t>
  </si>
  <si>
    <t>Andamiero</t>
  </si>
  <si>
    <t>Topografo</t>
  </si>
  <si>
    <t>Cadenero 1</t>
  </si>
  <si>
    <t>TRANSPORTE</t>
  </si>
  <si>
    <t>Vibro compactador grande</t>
  </si>
  <si>
    <t>mini cargador</t>
  </si>
  <si>
    <t>moto nieveladora</t>
  </si>
  <si>
    <t>camion cinterna</t>
  </si>
  <si>
    <t>cama baja</t>
  </si>
  <si>
    <t>buseta acpm</t>
  </si>
  <si>
    <t>carpa plastica 6x6</t>
  </si>
  <si>
    <t>carpa plastica 4x4</t>
  </si>
  <si>
    <t>carpa plastica 6x4</t>
  </si>
  <si>
    <t>cordinador de altura</t>
  </si>
  <si>
    <t>rescatista</t>
  </si>
  <si>
    <t>trabajo en altura</t>
  </si>
  <si>
    <t>espacio comfinado</t>
  </si>
  <si>
    <t>auxiliar administracion</t>
  </si>
  <si>
    <t>traslado de equipos</t>
  </si>
  <si>
    <t>volqueta 14 M3</t>
  </si>
  <si>
    <t>trasporte de equipos</t>
  </si>
  <si>
    <t>trasporte de equipo</t>
  </si>
  <si>
    <t>thermo agua</t>
  </si>
  <si>
    <t>Retroexcavadora de llantas</t>
  </si>
  <si>
    <t>Lima triangular</t>
  </si>
  <si>
    <t>Paletas</t>
  </si>
  <si>
    <t>Vibrador de concreto</t>
  </si>
  <si>
    <t>Eslingas/aparejos certificados</t>
  </si>
  <si>
    <t>Tubería de concreto reforzado D=36" Clase III</t>
  </si>
  <si>
    <t>Concreto 3000 psi para estructuras/cabezales/aletas</t>
  </si>
  <si>
    <t>Concreto 2500 psi para solado/atraque</t>
  </si>
  <si>
    <t>Acero de refuerzo G-60 figurado</t>
  </si>
  <si>
    <t>Alambre negro para amarre</t>
  </si>
  <si>
    <t>Material seleccionado para relleno</t>
  </si>
  <si>
    <t>Machete con funda</t>
  </si>
  <si>
    <t>seccion</t>
  </si>
  <si>
    <t>Gps</t>
  </si>
  <si>
    <t>Extintor Co2</t>
  </si>
  <si>
    <t xml:space="preserve">Buseta </t>
  </si>
  <si>
    <t>Buseta acpm</t>
  </si>
  <si>
    <t>Carpa plastica 6x6</t>
  </si>
  <si>
    <t>Carpa plastica 4x4</t>
  </si>
  <si>
    <t>Carpa plastica 6x4</t>
  </si>
  <si>
    <t>Carpa plastica 10x6</t>
  </si>
  <si>
    <t>Mesa de madera</t>
  </si>
  <si>
    <t>Silla rimax</t>
  </si>
  <si>
    <t>Camilla primeros auxilios</t>
  </si>
  <si>
    <t>Botiquin primeros auxilios</t>
  </si>
  <si>
    <t>Sombrilla para sol</t>
  </si>
  <si>
    <t>Detector de tubería</t>
  </si>
  <si>
    <t>Plomada</t>
  </si>
  <si>
    <t>Nivel 18"</t>
  </si>
  <si>
    <t>Estibas plasticas</t>
  </si>
  <si>
    <t>Dique en lamina para equipos</t>
  </si>
  <si>
    <t>Dique residuos contaminantes</t>
  </si>
  <si>
    <t>Dique almacenamiento de combustibles</t>
  </si>
  <si>
    <t>Unidad sanitaria</t>
  </si>
  <si>
    <t>Señalizacion</t>
  </si>
  <si>
    <t>Almadana en bronce</t>
  </si>
  <si>
    <t>Equipo topografico</t>
  </si>
  <si>
    <t>Zapapico</t>
  </si>
  <si>
    <t>Balde concretero</t>
  </si>
  <si>
    <t>Motobomba diesel</t>
  </si>
  <si>
    <t>Motobomba diesel 4x4</t>
  </si>
  <si>
    <t>Termo agua</t>
  </si>
  <si>
    <t>Colombianas de seguridad</t>
  </si>
  <si>
    <t>Pulidora 7"</t>
  </si>
  <si>
    <t>Pizon manual</t>
  </si>
  <si>
    <t>Planta electrica 7,5 kwa</t>
  </si>
  <si>
    <t xml:space="preserve">Paletas </t>
  </si>
  <si>
    <t>Thermo agua</t>
  </si>
  <si>
    <t>Chaleco reflectivo</t>
  </si>
  <si>
    <t>Colombiana</t>
  </si>
  <si>
    <t>Tabla</t>
  </si>
  <si>
    <t>Liston de pala</t>
  </si>
  <si>
    <t>Liston de pica</t>
  </si>
  <si>
    <t>Manila 5/16</t>
  </si>
  <si>
    <t>Acpm</t>
  </si>
  <si>
    <t>Entibado metalico 2x4x4</t>
  </si>
  <si>
    <t>Manila 1/2"</t>
  </si>
  <si>
    <t>Cespedon x M2</t>
  </si>
  <si>
    <t>Abono organico x M2</t>
  </si>
  <si>
    <t>Hoga</t>
  </si>
  <si>
    <t>Plastico negro</t>
  </si>
  <si>
    <t xml:space="preserve">Tabla </t>
  </si>
  <si>
    <t>Material selecionado</t>
  </si>
  <si>
    <t>Materia de afirmado</t>
  </si>
  <si>
    <t>Material de afirmado</t>
  </si>
  <si>
    <t>Material tipo base</t>
  </si>
  <si>
    <t>Alfalto en caliente</t>
  </si>
  <si>
    <t>Triturado 3/4-1"</t>
  </si>
  <si>
    <t>Arena</t>
  </si>
  <si>
    <t>Adoquin</t>
  </si>
  <si>
    <t>Ladrillo tolete</t>
  </si>
  <si>
    <t>Cemento x 50 kilos</t>
  </si>
  <si>
    <t>Sikasel x kilo</t>
  </si>
  <si>
    <t>TARIFA +25%</t>
  </si>
  <si>
    <t>PRECIO +25%</t>
  </si>
  <si>
    <t>Escuadra metalica 24"</t>
  </si>
  <si>
    <t>Chaleco</t>
  </si>
  <si>
    <t>Buseta</t>
  </si>
  <si>
    <t>Traslado de equipos</t>
  </si>
  <si>
    <t>Rescatista</t>
  </si>
  <si>
    <t>Estibado metalico 4x4x2</t>
  </si>
  <si>
    <t>Cabo para pala</t>
  </si>
  <si>
    <t>Buseta Acpm</t>
  </si>
  <si>
    <t>pala</t>
  </si>
  <si>
    <t>Manila 5/16"</t>
  </si>
  <si>
    <t>Aceite 15w40</t>
  </si>
  <si>
    <t>ACPM</t>
  </si>
  <si>
    <t>Camión doble cabina viaje</t>
  </si>
  <si>
    <t>Agua m3</t>
  </si>
  <si>
    <t>Transporte de equipo</t>
  </si>
  <si>
    <t>Liston 4x4x3</t>
  </si>
  <si>
    <t>Moto niveladora</t>
  </si>
  <si>
    <t>Camion sisterna</t>
  </si>
  <si>
    <t>minicargador</t>
  </si>
  <si>
    <t>Extencion electrica 100mts</t>
  </si>
  <si>
    <t>Cras</t>
  </si>
  <si>
    <t>Broca Rotomartillo 1 1/4 x 12"</t>
  </si>
  <si>
    <t>taladro Rotomartillo</t>
  </si>
  <si>
    <t>Sacos de polipropileno</t>
  </si>
  <si>
    <t>Suelo o arena para sacos con transporte</t>
  </si>
  <si>
    <t>guantes antivibración</t>
  </si>
  <si>
    <t>careta de esmerilar para casco</t>
  </si>
  <si>
    <t>Disco de corte 7" para metarl 1 1/16"</t>
  </si>
  <si>
    <t>discos de corte de 7" / discos diamantados o abrasivos</t>
  </si>
  <si>
    <t>Acpm Galon</t>
  </si>
  <si>
    <t>Acpm galon</t>
  </si>
  <si>
    <t>Material para afirmado de cantera</t>
  </si>
  <si>
    <t>colombina</t>
  </si>
  <si>
    <t>Radio Comunicación</t>
  </si>
  <si>
    <t xml:space="preserve">Camion Sisterna </t>
  </si>
  <si>
    <t>Piedra Filtro 3" maximo tamaño</t>
  </si>
  <si>
    <t>Base Granular m3</t>
  </si>
  <si>
    <t>base asfáltica o base negra m3</t>
  </si>
  <si>
    <t>Mezcla asfáltica compactada toneladas m3</t>
  </si>
  <si>
    <t>Material para afirmado de cantera m3</t>
  </si>
  <si>
    <t>Auxiliar Civil Asfaltero</t>
  </si>
  <si>
    <t>Pala Madera</t>
  </si>
  <si>
    <t>Baldes Asfalto</t>
  </si>
  <si>
    <t>Escoba de varita</t>
  </si>
  <si>
    <t>pavimentadora</t>
  </si>
  <si>
    <t>Pavimentadora</t>
  </si>
  <si>
    <t>Auxiliar Civil</t>
  </si>
  <si>
    <t>Emulsión para riego de liga galon</t>
  </si>
  <si>
    <t>Emulsión asfáltica para imprimación galon</t>
  </si>
  <si>
    <t>Gravilla triturada Clasificada TM 3/4</t>
  </si>
  <si>
    <t>Adoquín de concreto o arcilla</t>
  </si>
  <si>
    <t>Arena fina seca para sello de juntas</t>
  </si>
  <si>
    <t>Bordillo/sardinel/confinamiento</t>
  </si>
  <si>
    <t>Arena para cama/capa de soporte</t>
  </si>
  <si>
    <t>Columna1</t>
  </si>
  <si>
    <t>Mazo de caucho</t>
  </si>
  <si>
    <t>Regla de aluminio 2–3 m</t>
  </si>
  <si>
    <t>Nivel de mano / nivel 18"</t>
  </si>
  <si>
    <t>Flexómetro</t>
  </si>
  <si>
    <t>Nailon/hilo de alineación</t>
  </si>
  <si>
    <t>Escoba de cerdas duras</t>
  </si>
  <si>
    <t>Palustre / llana</t>
  </si>
  <si>
    <t>Placa vibratoria con protector de caucho/neopreno</t>
  </si>
  <si>
    <t>Confinamiento externo</t>
  </si>
  <si>
    <t>Pulidora de 7" / cortadora de mampostería</t>
  </si>
  <si>
    <t>Subbase granular m3</t>
  </si>
  <si>
    <t>Adoquín tipo corbatin</t>
  </si>
  <si>
    <t xml:space="preserve">SUMINISTRO E INSTALACIÓN LADRILLO TOLETE PARA VÍAS EN ÁREA INDUSTRIAL </t>
  </si>
  <si>
    <t>Adoquin tolete</t>
  </si>
  <si>
    <t>Buldron</t>
  </si>
  <si>
    <t>Manguera mt</t>
  </si>
  <si>
    <t>Aspersores</t>
  </si>
  <si>
    <t>Manguera para jardin</t>
  </si>
  <si>
    <t>Azadon</t>
  </si>
  <si>
    <t>Pisones manuales</t>
  </si>
  <si>
    <t xml:space="preserve">Camion Grua </t>
  </si>
  <si>
    <t>Concretadora Bulto y Medio Acpm</t>
  </si>
  <si>
    <t>azadon</t>
  </si>
  <si>
    <t>Sika 1 impermeabilizante kl</t>
  </si>
  <si>
    <t>Tubo sanitario 6"</t>
  </si>
  <si>
    <t>union sanitaria 6"</t>
  </si>
  <si>
    <t>Cemento 50 kl</t>
  </si>
  <si>
    <t>machete</t>
  </si>
  <si>
    <t>pica</t>
  </si>
  <si>
    <t>Llana metalica</t>
  </si>
  <si>
    <t>Concretadora</t>
  </si>
  <si>
    <t>Tubo sanitario 6" Reutilizar</t>
  </si>
  <si>
    <t>union sanitaria 6" Reutilizar</t>
  </si>
  <si>
    <t>Codo sanitaria 6" Reutilizar</t>
  </si>
  <si>
    <t>Sika Set L 2,5 kl</t>
  </si>
  <si>
    <t>Excavaciones menor a 1,2 m</t>
  </si>
  <si>
    <t xml:space="preserve">Geodren planar </t>
  </si>
  <si>
    <t>Tuberia de Drenaje de 4" 10 m</t>
  </si>
  <si>
    <t>Uniones para tubería perforada de 4"</t>
  </si>
  <si>
    <t>palín</t>
  </si>
  <si>
    <t>Cúter industrial</t>
  </si>
  <si>
    <t>Tijera industrial</t>
  </si>
  <si>
    <t>Geotextil m2</t>
  </si>
  <si>
    <t>Pulidora de 4,5" / cortadora de mampostería</t>
  </si>
  <si>
    <t>Rastrillo Con placa Dia</t>
  </si>
  <si>
    <t>Geomembra m2</t>
  </si>
  <si>
    <t>Transporte de equipo oruga</t>
  </si>
  <si>
    <t>Ayudante Tecnico</t>
  </si>
  <si>
    <t>Pistola de Impacto dia</t>
  </si>
  <si>
    <t>Llave de Impacto dia</t>
  </si>
  <si>
    <t>barra</t>
  </si>
  <si>
    <t>paladraga</t>
  </si>
  <si>
    <t>Eslingas/aparejos certificados 3" x 4"</t>
  </si>
  <si>
    <t xml:space="preserve">Grillete 7/8 </t>
  </si>
  <si>
    <t>Reflectores dia</t>
  </si>
  <si>
    <t>Polisombra 100m</t>
  </si>
  <si>
    <t>Rollo Pita polipropileno</t>
  </si>
  <si>
    <t>Entibado metalico 4x4x2</t>
  </si>
  <si>
    <t>Aparejador</t>
  </si>
  <si>
    <t>malla de gaviones 2x1x1</t>
  </si>
  <si>
    <t>Alambre Galvanizado 14 - kilo</t>
  </si>
  <si>
    <t>tenaza/cizalla para alambre</t>
  </si>
  <si>
    <t>Codal Aluminio 3 m</t>
  </si>
  <si>
    <t>Aguja Capotera</t>
  </si>
  <si>
    <t>Tierra Roja</t>
  </si>
  <si>
    <t>Varilla 1/8"</t>
  </si>
  <si>
    <t>Malla eslabonada vena 7</t>
  </si>
  <si>
    <t>martillo</t>
  </si>
  <si>
    <t>serrucho</t>
  </si>
  <si>
    <t>Hora</t>
  </si>
  <si>
    <t>Filtro para motor T85</t>
  </si>
  <si>
    <t>Aceite 4t gal</t>
  </si>
  <si>
    <t>Yoyo para motobomba</t>
  </si>
  <si>
    <t>Dique para Metalico</t>
  </si>
  <si>
    <t>Union Sanitaria 6"</t>
  </si>
  <si>
    <t>Pegante/soldadura PVC</t>
  </si>
  <si>
    <t>Limpiador PVC</t>
  </si>
  <si>
    <t>Wiper De Limpieza Trapo Cosido</t>
  </si>
  <si>
    <t>VALOR/DÍA</t>
  </si>
  <si>
    <t>NIVEL</t>
  </si>
  <si>
    <t>OPERADOR PLANTA ELÉCTRICA</t>
  </si>
  <si>
    <t>MARINERO COSTANERO DE CUBIERTA</t>
  </si>
  <si>
    <t>OBRERO</t>
  </si>
  <si>
    <t>CONDUCTOR DE VEHÍCULO LIVIANO Y/O PASAJEROS</t>
  </si>
  <si>
    <t>AYUDANTE ELECTRICISTA</t>
  </si>
  <si>
    <t>AYUDANTE INSTRUMENTACIÓN</t>
  </si>
  <si>
    <t>AYUDANTE MECÁNICO OFF SHORE</t>
  </si>
  <si>
    <t>CONECTOR OFF SHORE</t>
  </si>
  <si>
    <t>MARINERO DE CUBIERTA</t>
  </si>
  <si>
    <t>CAMARERO</t>
  </si>
  <si>
    <t>MARINERO OPERADOR</t>
  </si>
  <si>
    <t>MARINERO AB DE EMBARCACIÓN</t>
  </si>
  <si>
    <t>MARINERO AJUSTADOR DE BRIDAS</t>
  </si>
  <si>
    <t>AYUDANTE MECÁNICO</t>
  </si>
  <si>
    <t>AYUDANTE PAILERÍA</t>
  </si>
  <si>
    <t>AYUDANTE TUBERÍA</t>
  </si>
  <si>
    <t>AYUDANTE CADENERO</t>
  </si>
  <si>
    <t>AYUDANTE DE PINTURA</t>
  </si>
  <si>
    <t>OFICIALISTA 2</t>
  </si>
  <si>
    <t>AYUDANTE DE BODEGA O BODEGUERO</t>
  </si>
  <si>
    <t>SOCORRISTA, CONDUCTOR DE AMBULANCIA</t>
  </si>
  <si>
    <t>AYUDANTE SOLDADURA</t>
  </si>
  <si>
    <t>BUZO SEGUNDA</t>
  </si>
  <si>
    <t>MECÁNICO OFF SHORE</t>
  </si>
  <si>
    <t>MARINERO TIMONEL</t>
  </si>
  <si>
    <t>MARINERO DE MÁQUINAS</t>
  </si>
  <si>
    <t>MARINERO COCINERO EMBARCACIÓN MAYOR</t>
  </si>
  <si>
    <t>OFICIAL I</t>
  </si>
  <si>
    <t>PINTOR</t>
  </si>
  <si>
    <t>VIGÍA HSE</t>
  </si>
  <si>
    <t>OFICIALISTA 1</t>
  </si>
  <si>
    <t>SAND BLASTERO, SAND BLASTER O PINTOR</t>
  </si>
  <si>
    <t>ESMERILADOR</t>
  </si>
  <si>
    <t>AUXILIAR DE MATERIALES</t>
  </si>
  <si>
    <t>CONDUCTOR VEHÍCULO PESADO PROPIO DE LA INDUSTRIA DE MÁS DE 3 TON</t>
  </si>
  <si>
    <t>AUXILIAR DE ENFERMERÍA</t>
  </si>
  <si>
    <t>APAREJADOR</t>
  </si>
  <si>
    <t>OPERADOR DE MOTONIVELADORA</t>
  </si>
  <si>
    <t>RETROCARGADOR</t>
  </si>
  <si>
    <t>VIBROCOMPACTADOR</t>
  </si>
  <si>
    <t>AUXILIAR AMBIENTAL</t>
  </si>
  <si>
    <t>ANALISTA DE GESTIÓN DE MANTENIMIENTO</t>
  </si>
  <si>
    <t>OPERADOR GRÚA HASTA 40 TON</t>
  </si>
  <si>
    <t>ELECTRICISTA 1</t>
  </si>
  <si>
    <t>INSTRUMENTISTA 1</t>
  </si>
  <si>
    <t>OFICIAL PUENTE REGIONAL HASTA 2800 TRB</t>
  </si>
  <si>
    <t>MECÁNICO 1</t>
  </si>
  <si>
    <t>PAILERO 1</t>
  </si>
  <si>
    <t>TUBERO 1</t>
  </si>
  <si>
    <t>MONTADOR 1</t>
  </si>
  <si>
    <t>DOCUMENTADOR</t>
  </si>
  <si>
    <t>OPERADOR EQUIPO PESADO 1</t>
  </si>
  <si>
    <t>ANDAMIERO 1</t>
  </si>
  <si>
    <t>OPERADOR DE GRÚA HASTA 90 TON</t>
  </si>
  <si>
    <t>OPERADOR DE RETROEXCAVADORA, BOBCAT, MAN LIFT, HERRAMIENTAS ESPECIALES, SIDEBOOM, CAMABAJA/ALTA</t>
  </si>
  <si>
    <t>ELECTROMECÁNICO</t>
  </si>
  <si>
    <t>OPERADOR CAMIÓN GRÚA</t>
  </si>
  <si>
    <t>OPERADOR PLANTA DE CONCRETO</t>
  </si>
  <si>
    <t>OPERADOR DE EQUIPO DE PERFORACIÓN CON MANEJO DE EXPLOSIVOS</t>
  </si>
  <si>
    <t>OPERADOR DE HERRAMIENTAS DE TORQUE</t>
  </si>
  <si>
    <t>OPERADOR DE EQUIPO PRUEBAS HIDROSTÁTICAS</t>
  </si>
  <si>
    <t>OPERADOR MONTACARGAS</t>
  </si>
  <si>
    <t>OPERADOR CARGADOR</t>
  </si>
  <si>
    <t>OPERADOR RETROLLANTAS</t>
  </si>
  <si>
    <t>OPERADOR CARROMACHO</t>
  </si>
  <si>
    <t>OPERADOR CAMIÓN DE VACÍO</t>
  </si>
  <si>
    <t>DOBLADOR</t>
  </si>
  <si>
    <t>SOLDADOR 1</t>
  </si>
  <si>
    <t>ELECTRICISTA 1A</t>
  </si>
  <si>
    <t>INSTRUMENTISTA 1A</t>
  </si>
  <si>
    <t>CONTRAMAESTRE AB EMBARCACIÓN</t>
  </si>
  <si>
    <t>OFICIAL PUENTE HASTA 3000 TRB</t>
  </si>
  <si>
    <t>OFICIAL DE MÁQUINAS HASTA 3000 KW</t>
  </si>
  <si>
    <t>MECÁNICO 1A</t>
  </si>
  <si>
    <t>PAILERO 1A</t>
  </si>
  <si>
    <t>TUBERO 1A</t>
  </si>
  <si>
    <t>MONTADOR 1A</t>
  </si>
  <si>
    <t>ALINEADOR DE TUBERÍAS</t>
  </si>
  <si>
    <t>RESCATISTA DE ALTURAS</t>
  </si>
  <si>
    <t>INSPECTOR HSE</t>
  </si>
  <si>
    <t>AMBIENTAL</t>
  </si>
  <si>
    <t>OPERADOR EQUIPO PESADO 1A</t>
  </si>
  <si>
    <t>ANDAMIERO 1A</t>
  </si>
  <si>
    <t>LABORATORISTA</t>
  </si>
  <si>
    <t>SOLDADOR 1A</t>
  </si>
  <si>
    <t>SOLDADOR ARGONERO</t>
  </si>
  <si>
    <t>OFICIAL DE PUENTE</t>
  </si>
  <si>
    <t>CAPATAZ</t>
  </si>
  <si>
    <t>ENFERMERA PROFESIONAL</t>
  </si>
  <si>
    <t>OPERADOR DE GRÚA MAYOR A 80 TON</t>
  </si>
  <si>
    <t>TOPÓGRAFO QA/QC; CALIDAD Y CANTIDAD</t>
  </si>
  <si>
    <t>OBRERO DESCONTAMINACION</t>
  </si>
  <si>
    <t>CAMARERA</t>
  </si>
  <si>
    <t>AUXILIAR DE ASEO Y CAFETERIA</t>
  </si>
  <si>
    <t>MESERO</t>
  </si>
  <si>
    <t>AYUDANTE MTTO VEHICULOS</t>
  </si>
  <si>
    <t>JARDINERO</t>
  </si>
  <si>
    <t>OBRERO APICULTOR Y FUMIGADOR*</t>
  </si>
  <si>
    <t>SEÑALIZADOR VIAL*</t>
  </si>
  <si>
    <t>MENSAJERO*</t>
  </si>
  <si>
    <t>RECEPCIONISTA*</t>
  </si>
  <si>
    <t>OBRERO CON EXPERIENCIA</t>
  </si>
  <si>
    <t>AYUDANTE DE OBRA CIVIL</t>
  </si>
  <si>
    <t>CONDUCTOR</t>
  </si>
  <si>
    <t>AUXILIAR DE INVENTARIOS</t>
  </si>
  <si>
    <t>TECNICO GESTION DOCUMENTAL / AUXILIAR*</t>
  </si>
  <si>
    <t>GUADAÑADOR*</t>
  </si>
  <si>
    <t>APAREJADOR DE GRÚA / APAREJADOR DE CARGAS / APAREJADOR DE EQUIPOS DE IZAJE*</t>
  </si>
  <si>
    <t>VIGILANTE</t>
  </si>
  <si>
    <t>ALBAÑIL</t>
  </si>
  <si>
    <t>OFICIAL DE CONSTRUCCION</t>
  </si>
  <si>
    <t>OPERADOR VEHICULO PESADO</t>
  </si>
  <si>
    <t>AYUDANTE ELECTRICO</t>
  </si>
  <si>
    <t>AYUDANTE MECANICO</t>
  </si>
  <si>
    <t>AYUDANTE SOLDADURA*</t>
  </si>
  <si>
    <t>INSTRUMENTISTA</t>
  </si>
  <si>
    <t>TECNICO ELECTRICISTA*</t>
  </si>
  <si>
    <t>CAPATAZ DE ZONAS VERDES Y ROCERIA*</t>
  </si>
  <si>
    <t>OFICIAL DE OBRA CIVIL*</t>
  </si>
  <si>
    <t>SOLDADOR*</t>
  </si>
  <si>
    <t>MAESTRO DE OBRA CIVIL*</t>
  </si>
  <si>
    <t>PROFESIÓN</t>
  </si>
  <si>
    <t>carretilla</t>
  </si>
  <si>
    <t>Marco Segueta</t>
  </si>
  <si>
    <t xml:space="preserve">Hoja Segueta </t>
  </si>
  <si>
    <t>Concreto con Camion Mixer m3</t>
  </si>
  <si>
    <t>sika antisol 20kl</t>
  </si>
  <si>
    <t>Piedra triturado 3/4 a 1 m3</t>
  </si>
  <si>
    <t>Sellante para juntas SIKAfle 1a</t>
  </si>
  <si>
    <t>Tablon</t>
  </si>
  <si>
    <t>Platina de dilatacion</t>
  </si>
  <si>
    <t>HSE</t>
  </si>
  <si>
    <t>TOPOGRAFO</t>
  </si>
  <si>
    <t>CADENERO 1</t>
  </si>
  <si>
    <t>ANDAMIERO</t>
  </si>
  <si>
    <t>OFICIAL CONSTRUCCION</t>
  </si>
  <si>
    <t>AUXILIAR ADMINISTRATIVO</t>
  </si>
  <si>
    <t>AUXILIAR CIVIL</t>
  </si>
  <si>
    <t xml:space="preserve">Prueba de Concreto </t>
  </si>
  <si>
    <t xml:space="preserve">Escalera tipo tijera </t>
  </si>
  <si>
    <t>Bomba para concreto m3</t>
  </si>
  <si>
    <t>Concreto 4000 psi para estructuras/cabezales/aletas</t>
  </si>
  <si>
    <t>Kit Rescate en altura</t>
  </si>
  <si>
    <t>Tripo para rescate espacio confinado</t>
  </si>
  <si>
    <t>detector de gas</t>
  </si>
  <si>
    <t>Extractor de aire</t>
  </si>
  <si>
    <t>Bomba para fumigar</t>
  </si>
  <si>
    <t xml:space="preserve">coordinador de altura </t>
  </si>
  <si>
    <t>0jo</t>
  </si>
  <si>
    <t>Arnés de seguridad y Erlingas</t>
  </si>
  <si>
    <t xml:space="preserve">Dobladora Manual </t>
  </si>
  <si>
    <t>Banco figuracion</t>
  </si>
  <si>
    <t>bichiroque</t>
  </si>
  <si>
    <t>Acero 60000 psi kg</t>
  </si>
  <si>
    <t xml:space="preserve">Ladrillo Tolete </t>
  </si>
  <si>
    <t>Varilla 1/4" kg</t>
  </si>
  <si>
    <t>Varilla 3/8" kg</t>
  </si>
  <si>
    <t>Varilla 1/8" kg</t>
  </si>
  <si>
    <t>media caneca plastica 55 g</t>
  </si>
  <si>
    <t>Tamiz</t>
  </si>
  <si>
    <t>Tubo de ensayo 6"</t>
  </si>
  <si>
    <t>ska fle pavement  galon</t>
  </si>
  <si>
    <t>sikarod juntas 3/8 ML</t>
  </si>
  <si>
    <t>cinta de enmascarar 2" rollo</t>
  </si>
  <si>
    <t>varsol x galon</t>
  </si>
  <si>
    <t>pistola de calafateo</t>
  </si>
  <si>
    <t>espatula 3"</t>
  </si>
  <si>
    <t>bisturi</t>
  </si>
  <si>
    <t>cepillo de alambre bronce</t>
  </si>
  <si>
    <t>comprensor de aire</t>
  </si>
  <si>
    <t>guantes de nitrilo largo</t>
  </si>
  <si>
    <t>gunates quirulgico</t>
  </si>
  <si>
    <t>buseta</t>
  </si>
  <si>
    <t>aspiradora industrial</t>
  </si>
  <si>
    <t>brocha 3"</t>
  </si>
  <si>
    <t>guantes quirulgico</t>
  </si>
  <si>
    <t>sika anchofix -4</t>
  </si>
  <si>
    <t>almadana x6 lb</t>
  </si>
  <si>
    <t>cincel 3/4 x 12"</t>
  </si>
  <si>
    <t>Electrosoldador</t>
  </si>
  <si>
    <t>Equipos Oxicorte</t>
  </si>
  <si>
    <t>Cortatubo de 1/2 a 2"</t>
  </si>
  <si>
    <t>Cortatubo de 2 a 4"</t>
  </si>
  <si>
    <t>Cortatubo de 4 a 6"</t>
  </si>
  <si>
    <t>Diferencial 2 ton</t>
  </si>
  <si>
    <t>Pata Cabra</t>
  </si>
  <si>
    <t>Burro Metalico Hechizo Tubería</t>
  </si>
  <si>
    <t>Burro Metalico Hechizo Diferencial</t>
  </si>
  <si>
    <t>Mampara en aluminio</t>
  </si>
  <si>
    <t>Caja De Herramientas</t>
  </si>
  <si>
    <t>Eslinga de 3x3 sintetica</t>
  </si>
  <si>
    <t>Eslinga de 3x6 sintetica</t>
  </si>
  <si>
    <t>Pie rey 6"</t>
  </si>
  <si>
    <t>Pie rey 12"</t>
  </si>
  <si>
    <t>Porta Machuelo 10 a 19 ml</t>
  </si>
  <si>
    <t>Porta Machuelo 11 a 24 ml</t>
  </si>
  <si>
    <t>Porta Machuelo 13 a 32 ml</t>
  </si>
  <si>
    <t>Taladro Magnetico</t>
  </si>
  <si>
    <t>Taladro Rotomartillo</t>
  </si>
  <si>
    <t>Taladro Demoledor</t>
  </si>
  <si>
    <t>Taladro Percutor Industrial</t>
  </si>
  <si>
    <t xml:space="preserve">Taladro Percutor </t>
  </si>
  <si>
    <t>Taladro Percutor Inalambrico</t>
  </si>
  <si>
    <t>Taladro Rotomartillo inalambrico</t>
  </si>
  <si>
    <t>Juego de taladro para atornillar</t>
  </si>
  <si>
    <t>Tronzadora para metal 14"</t>
  </si>
  <si>
    <t>Juego de llaves Mixta  1/2 a 1 1/2"</t>
  </si>
  <si>
    <t>Juego copas 1/2 a 1 1/2"</t>
  </si>
  <si>
    <t>Llave Expansiva 14"</t>
  </si>
  <si>
    <t>Llave Expansiva de 18"</t>
  </si>
  <si>
    <t>Lave expansiva 24"</t>
  </si>
  <si>
    <t>Llave expansiva de 48"</t>
  </si>
  <si>
    <t>Llave para tubo 8"</t>
  </si>
  <si>
    <t>Llave para tubo 14"</t>
  </si>
  <si>
    <t>Llave para tubo 18"</t>
  </si>
  <si>
    <t>Llave para tubo 24"</t>
  </si>
  <si>
    <t>Llave para tubo Tipo Cremallera 36"</t>
  </si>
  <si>
    <t>Portarraja inalambrico</t>
  </si>
  <si>
    <t>Juego de tarraja de 1/2 a 2"</t>
  </si>
  <si>
    <t>Compresor de aire</t>
  </si>
  <si>
    <t xml:space="preserve">Hidrolavadora Diesel </t>
  </si>
  <si>
    <t xml:space="preserve">Hidrolavadora Electrica </t>
  </si>
  <si>
    <t>Guadañadora 280</t>
  </si>
  <si>
    <t>Motosierra 240</t>
  </si>
  <si>
    <t>Motosierra 360</t>
  </si>
  <si>
    <t>Hoyadora</t>
  </si>
  <si>
    <t>Bomba Wildem</t>
  </si>
  <si>
    <t>Cono de seguridad</t>
  </si>
  <si>
    <t>Punto Ecologico</t>
  </si>
  <si>
    <t>Gato Hidraulico</t>
  </si>
  <si>
    <t>Disco para pulir Metal 7"</t>
  </si>
  <si>
    <t>Disco de corte para metal  4,5"  1/64</t>
  </si>
  <si>
    <t>Disco para pulir Metal 4,5" 1 1/4"</t>
  </si>
  <si>
    <t>Soldadura 6011 1/8"</t>
  </si>
  <si>
    <t>Soldadura 6011 3/32"</t>
  </si>
  <si>
    <t>Soldadura 7018 3/32"</t>
  </si>
  <si>
    <t>Soldadura 7018 1/8"</t>
  </si>
  <si>
    <t>Lapicero negro</t>
  </si>
  <si>
    <t>Lapiz Rojo</t>
  </si>
  <si>
    <t>Corrector</t>
  </si>
  <si>
    <t>Tiza Industrial</t>
  </si>
  <si>
    <t>Disco Flat 4,5</t>
  </si>
  <si>
    <t>Bolsa para Basura</t>
  </si>
  <si>
    <t>Almadana 3" Bronce</t>
  </si>
  <si>
    <t>Almadana 6" Bronce</t>
  </si>
  <si>
    <t>Grata metalica de 1/8" 7"</t>
  </si>
  <si>
    <t>Grata metalica de 1/4" 7"</t>
  </si>
  <si>
    <t>Llave expansiva 24"</t>
  </si>
  <si>
    <t>Prensa en C</t>
  </si>
  <si>
    <t>Alicate machosolo</t>
  </si>
  <si>
    <t>Grapa Hechiza 2"</t>
  </si>
  <si>
    <t>Grapa Hechiza 3"</t>
  </si>
  <si>
    <t>Grapa Hechiza 4"</t>
  </si>
  <si>
    <t>Grapa Hechiza 6"</t>
  </si>
  <si>
    <t>Escalera Electrica Dieletica</t>
  </si>
  <si>
    <t>Lija Industrial</t>
  </si>
  <si>
    <t>Vidrio Blanco Careta Soldadura</t>
  </si>
  <si>
    <t>Vidrio Negro Careta Soldadura</t>
  </si>
  <si>
    <t>Moto Soldador Extreme 190</t>
  </si>
  <si>
    <t>Extencion electrica 30mts 3*10</t>
  </si>
  <si>
    <t>Airless X70</t>
  </si>
  <si>
    <t>Holiday Detector certificado</t>
  </si>
  <si>
    <t>Medidor de película seca DFT</t>
  </si>
  <si>
    <t>Peine de película húmeda WFT</t>
  </si>
  <si>
    <t>Termohigrómetro / medidor punto de rocío</t>
  </si>
  <si>
    <t>Termómetro de superficie</t>
  </si>
  <si>
    <t>Medidor de perfil / cinta réplica</t>
  </si>
  <si>
    <t>Mezclador de pintura</t>
  </si>
  <si>
    <t>Mangueras de sandblasting</t>
  </si>
  <si>
    <t>Manguera/pistola Airless</t>
  </si>
  <si>
    <t>Boquillas sandblasting</t>
  </si>
  <si>
    <t>Brochas de retoque</t>
  </si>
  <si>
    <t>Espátulas / raspadores</t>
  </si>
  <si>
    <t>Lijas A-36</t>
  </si>
  <si>
    <t>Abrasivo aprobado</t>
  </si>
  <si>
    <t>Recubrimiento TPT-STD-013</t>
  </si>
  <si>
    <t>Catalizador/endurecedor</t>
  </si>
  <si>
    <t>Solvente/thinner compatible</t>
  </si>
  <si>
    <t>Placas testigo 0,10 × 0,10 m</t>
  </si>
  <si>
    <t>Cinta enmascarar</t>
  </si>
  <si>
    <t>Plástico/lona de protección</t>
  </si>
  <si>
    <t>Trapos/estopa/filtros</t>
  </si>
  <si>
    <t>madera redonda 3" x 2.5m</t>
  </si>
  <si>
    <t>Chaleco Reflectivo</t>
  </si>
  <si>
    <t>Oficinista 2</t>
  </si>
  <si>
    <t>DIFERENCIAL DE 3 TON</t>
  </si>
  <si>
    <t>TORQUIMETRO MANUAL</t>
  </si>
  <si>
    <t>PINTOR SANBLASTRING</t>
  </si>
  <si>
    <t>AYUDANTE TECNICO METALMECANICO</t>
  </si>
  <si>
    <t>SUPERVISOR QA/QC</t>
  </si>
  <si>
    <t>SUPERVISOR HSE</t>
  </si>
  <si>
    <t>RECUBRIMIENTO SIGMALINE 2500 BASE + CATALIZADOR m2</t>
  </si>
  <si>
    <t>DISCOS CLEAN STRIP</t>
  </si>
  <si>
    <t xml:space="preserve">GRATA TRENZADA CIRCULAR </t>
  </si>
  <si>
    <t xml:space="preserve">ARENA DE SANDBLASTING TIPO SOGAMOSO </t>
  </si>
  <si>
    <t xml:space="preserve">DISCOS FLAP </t>
  </si>
  <si>
    <t>COMPRESOR Y EQUIPO AIRLESS</t>
  </si>
  <si>
    <t>EQUIPO PINTURA EARLES</t>
  </si>
  <si>
    <t>TOLVA SAND BLASTING</t>
  </si>
  <si>
    <t>GENERADOR 18 KVA</t>
  </si>
  <si>
    <t>KIT INSPECCION DE RECUBRIMIENTOS</t>
  </si>
  <si>
    <t>EQUIPO DE CALIDAD</t>
  </si>
  <si>
    <t>ESTENSION ELECTRICA 30 METROS</t>
  </si>
  <si>
    <t>VALOR EN LETRAS:SIETEMIL QUINCE MILLONES QUINIENTOS VEINTE Y CINCO MIL SETECIENTOS NOVENTA Y NUEVE PESOS M/L</t>
  </si>
  <si>
    <t>30 DE 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</si>
</sst>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&quot;$&quot;\ * #,##0.00_);_(&quot;$&quot;\ * \(#,##0.00\);_(&quot;$&quot;\ * &quot;-&quot;??_);_(@_)"/>
    <numFmt numFmtId="165" formatCode="General_)"/>
    <numFmt numFmtId="166" formatCode="_-&quot;$&quot;\ * #,##0_-;\-&quot;$&quot;\ * #,##0_-;_-&quot;$&quot;\ * &quot;-&quot;??_-;_-@_-"/>
    <numFmt numFmtId="167" formatCode="&quot;$&quot;\ #,##0"/>
    <numFmt numFmtId="168" formatCode="_ * #,##0.00_ ;_ * \-#,##0.00_ ;_ * &quot;-&quot;??_ ;_ @_ "/>
    <numFmt numFmtId="169" formatCode="_ * #,##0.0_ ;_ * \-#,##0.0_ ;_ * &quot;-&quot;??_ ;_ @_ "/>
    <numFmt numFmtId="170" formatCode="_-* #,##0_-;\-* #,##0_-;_-* &quot;-&quot;??_-;_-@_-"/>
    <numFmt numFmtId="171" formatCode="_-* #,##0.0_-;\-* #,##0.0_-;_-* &quot;-&quot;??_-;_-@_-"/>
    <numFmt numFmtId="172" formatCode="\$\ #,##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24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trike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2"/>
      <color rgb="FF000000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theme="4" tint="0.79998168889431442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ck">
        <color rgb="FF1D233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ck">
        <color rgb="FF1D2330"/>
      </bottom>
      <diagonal/>
    </border>
    <border>
      <left/>
      <right style="thin">
        <color theme="4" tint="0.39997558519241921"/>
      </right>
      <top/>
      <bottom style="thick">
        <color rgb="FF1D233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10">
    <xf numFmtId="0" fontId="0" fillId="0" borderId="0"/>
    <xf numFmtId="10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168" fontId="2" fillId="0" borderId="0" applyFont="0" applyFill="0" applyBorder="0" applyAlignment="0" applyProtection="0"/>
  </cellStyleXfs>
  <cellXfs count="371">
    <xf numFmtId="0" fontId="0" fillId="0" borderId="0" xfId="0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0" fillId="3" borderId="0" xfId="0" applyFill="1"/>
    <xf numFmtId="0" fontId="11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/>
    <xf numFmtId="0" fontId="7" fillId="0" borderId="3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1" fillId="3" borderId="0" xfId="0" applyFont="1" applyFill="1"/>
    <xf numFmtId="0" fontId="7" fillId="0" borderId="7" xfId="0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 wrapText="1"/>
    </xf>
    <xf numFmtId="166" fontId="7" fillId="0" borderId="7" xfId="6" applyNumberFormat="1" applyFont="1" applyBorder="1" applyAlignment="1">
      <alignment horizontal="center" vertical="center" wrapText="1"/>
    </xf>
    <xf numFmtId="167" fontId="12" fillId="0" borderId="3" xfId="6" applyNumberFormat="1" applyFont="1" applyBorder="1" applyAlignment="1">
      <alignment horizontal="center" vertical="center" wrapText="1"/>
    </xf>
    <xf numFmtId="167" fontId="8" fillId="3" borderId="3" xfId="6" applyNumberFormat="1" applyFont="1" applyFill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7" fontId="12" fillId="0" borderId="3" xfId="0" applyNumberFormat="1" applyFont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165" fontId="14" fillId="3" borderId="3" xfId="8" applyNumberFormat="1" applyFont="1" applyFill="1" applyBorder="1" applyAlignment="1">
      <alignment horizontal="center" vertical="center"/>
    </xf>
    <xf numFmtId="37" fontId="14" fillId="3" borderId="1" xfId="8" applyNumberFormat="1" applyFont="1" applyFill="1" applyBorder="1" applyAlignment="1">
      <alignment horizontal="center" vertical="center"/>
    </xf>
    <xf numFmtId="170" fontId="14" fillId="3" borderId="3" xfId="7" applyNumberFormat="1" applyFont="1" applyFill="1" applyBorder="1" applyAlignment="1">
      <alignment horizontal="center" vertical="center"/>
    </xf>
    <xf numFmtId="171" fontId="14" fillId="3" borderId="3" xfId="7" applyNumberFormat="1" applyFont="1" applyFill="1" applyBorder="1" applyAlignment="1" applyProtection="1">
      <alignment horizontal="center" vertical="center"/>
    </xf>
    <xf numFmtId="166" fontId="14" fillId="3" borderId="3" xfId="6" applyNumberFormat="1" applyFont="1" applyFill="1" applyBorder="1" applyAlignment="1">
      <alignment horizontal="left" vertical="center"/>
    </xf>
    <xf numFmtId="166" fontId="14" fillId="3" borderId="1" xfId="6" applyNumberFormat="1" applyFont="1" applyFill="1" applyBorder="1" applyAlignment="1">
      <alignment horizontal="center" vertical="center"/>
    </xf>
    <xf numFmtId="166" fontId="14" fillId="3" borderId="3" xfId="6" applyNumberFormat="1" applyFont="1" applyFill="1" applyBorder="1" applyAlignment="1">
      <alignment horizontal="left" vertical="center" wrapText="1"/>
    </xf>
    <xf numFmtId="166" fontId="14" fillId="3" borderId="3" xfId="6" applyNumberFormat="1" applyFont="1" applyFill="1" applyBorder="1" applyAlignment="1">
      <alignment horizontal="center" vertical="center"/>
    </xf>
    <xf numFmtId="166" fontId="0" fillId="0" borderId="17" xfId="0" applyNumberFormat="1" applyBorder="1"/>
    <xf numFmtId="171" fontId="14" fillId="3" borderId="3" xfId="7" applyNumberFormat="1" applyFont="1" applyFill="1" applyBorder="1" applyAlignment="1">
      <alignment horizontal="center" vertical="center"/>
    </xf>
    <xf numFmtId="37" fontId="14" fillId="3" borderId="3" xfId="8" applyNumberFormat="1" applyFont="1" applyFill="1" applyBorder="1" applyAlignment="1">
      <alignment vertical="center"/>
    </xf>
    <xf numFmtId="37" fontId="14" fillId="3" borderId="3" xfId="8" applyNumberFormat="1" applyFont="1" applyFill="1" applyBorder="1" applyAlignment="1">
      <alignment vertical="center" wrapText="1"/>
    </xf>
    <xf numFmtId="171" fontId="14" fillId="3" borderId="7" xfId="7" applyNumberFormat="1" applyFont="1" applyFill="1" applyBorder="1" applyAlignment="1" applyProtection="1">
      <alignment horizontal="center" vertical="center"/>
    </xf>
    <xf numFmtId="165" fontId="14" fillId="3" borderId="6" xfId="8" applyNumberFormat="1" applyFont="1" applyFill="1" applyBorder="1" applyAlignment="1">
      <alignment horizontal="left" vertical="center"/>
    </xf>
    <xf numFmtId="165" fontId="14" fillId="3" borderId="6" xfId="8" applyNumberFormat="1" applyFont="1" applyFill="1" applyBorder="1" applyAlignment="1">
      <alignment horizontal="center" vertical="center"/>
    </xf>
    <xf numFmtId="168" fontId="14" fillId="3" borderId="6" xfId="9" applyFont="1" applyFill="1" applyBorder="1" applyAlignment="1" applyProtection="1">
      <alignment horizontal="center" vertical="center"/>
    </xf>
    <xf numFmtId="37" fontId="14" fillId="3" borderId="6" xfId="8" applyNumberFormat="1" applyFont="1" applyFill="1" applyBorder="1" applyAlignment="1">
      <alignment horizontal="center" vertical="center"/>
    </xf>
    <xf numFmtId="37" fontId="14" fillId="3" borderId="10" xfId="8" applyNumberFormat="1" applyFont="1" applyFill="1" applyBorder="1" applyAlignment="1">
      <alignment horizontal="center" vertical="center"/>
    </xf>
    <xf numFmtId="165" fontId="14" fillId="3" borderId="8" xfId="8" applyNumberFormat="1" applyFont="1" applyFill="1" applyBorder="1" applyAlignment="1">
      <alignment horizontal="left" vertical="center"/>
    </xf>
    <xf numFmtId="37" fontId="14" fillId="3" borderId="3" xfId="8" applyNumberFormat="1" applyFont="1" applyFill="1" applyBorder="1" applyAlignment="1">
      <alignment horizontal="center" vertical="center"/>
    </xf>
    <xf numFmtId="168" fontId="14" fillId="3" borderId="3" xfId="9" applyFont="1" applyFill="1" applyBorder="1" applyAlignment="1" applyProtection="1">
      <alignment horizontal="center" vertical="center"/>
    </xf>
    <xf numFmtId="170" fontId="16" fillId="3" borderId="3" xfId="7" applyNumberFormat="1" applyFont="1" applyFill="1" applyBorder="1" applyAlignment="1">
      <alignment horizontal="center"/>
    </xf>
    <xf numFmtId="37" fontId="0" fillId="0" borderId="3" xfId="0" applyNumberFormat="1" applyBorder="1" applyAlignment="1">
      <alignment horizontal="center"/>
    </xf>
    <xf numFmtId="170" fontId="16" fillId="3" borderId="0" xfId="7" applyNumberFormat="1" applyFont="1" applyFill="1" applyBorder="1" applyAlignment="1">
      <alignment horizontal="center"/>
    </xf>
    <xf numFmtId="166" fontId="0" fillId="0" borderId="8" xfId="0" applyNumberFormat="1" applyBorder="1"/>
    <xf numFmtId="169" fontId="14" fillId="3" borderId="6" xfId="9" applyNumberFormat="1" applyFont="1" applyFill="1" applyBorder="1" applyAlignment="1" applyProtection="1">
      <alignment horizontal="center" vertical="center"/>
    </xf>
    <xf numFmtId="39" fontId="14" fillId="3" borderId="6" xfId="8" applyNumberFormat="1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center" vertical="center" wrapText="1"/>
    </xf>
    <xf numFmtId="170" fontId="16" fillId="3" borderId="3" xfId="7" applyNumberFormat="1" applyFont="1" applyFill="1" applyBorder="1" applyAlignment="1">
      <alignment horizontal="left" wrapText="1"/>
    </xf>
    <xf numFmtId="170" fontId="17" fillId="3" borderId="27" xfId="7" applyNumberFormat="1" applyFont="1" applyFill="1" applyBorder="1" applyAlignment="1">
      <alignment horizontal="left" wrapText="1"/>
    </xf>
    <xf numFmtId="170" fontId="17" fillId="3" borderId="8" xfId="7" applyNumberFormat="1" applyFont="1" applyFill="1" applyBorder="1" applyAlignment="1">
      <alignment horizontal="left" wrapText="1"/>
    </xf>
    <xf numFmtId="170" fontId="17" fillId="3" borderId="8" xfId="7" applyNumberFormat="1" applyFont="1" applyFill="1" applyBorder="1" applyAlignment="1">
      <alignment horizontal="left"/>
    </xf>
    <xf numFmtId="170" fontId="16" fillId="3" borderId="3" xfId="7" applyNumberFormat="1" applyFont="1" applyFill="1" applyBorder="1" applyAlignment="1">
      <alignment horizontal="left" vertical="center"/>
    </xf>
    <xf numFmtId="170" fontId="16" fillId="3" borderId="3" xfId="7" applyNumberFormat="1" applyFont="1" applyFill="1" applyBorder="1" applyAlignment="1">
      <alignment horizontal="left" vertical="center" wrapText="1"/>
    </xf>
    <xf numFmtId="171" fontId="16" fillId="3" borderId="3" xfId="7" applyNumberFormat="1" applyFont="1" applyFill="1" applyBorder="1" applyAlignment="1">
      <alignment horizontal="left" vertical="center"/>
    </xf>
    <xf numFmtId="170" fontId="17" fillId="3" borderId="3" xfId="7" applyNumberFormat="1" applyFont="1" applyFill="1" applyBorder="1" applyAlignment="1">
      <alignment horizontal="left" vertical="center"/>
    </xf>
    <xf numFmtId="170" fontId="16" fillId="3" borderId="7" xfId="7" applyNumberFormat="1" applyFont="1" applyFill="1" applyBorder="1" applyAlignment="1">
      <alignment horizontal="left" wrapText="1"/>
    </xf>
    <xf numFmtId="170" fontId="17" fillId="3" borderId="7" xfId="7" applyNumberFormat="1" applyFont="1" applyFill="1" applyBorder="1" applyAlignment="1">
      <alignment horizontal="left" wrapText="1"/>
    </xf>
    <xf numFmtId="170" fontId="17" fillId="3" borderId="7" xfId="7" applyNumberFormat="1" applyFont="1" applyFill="1" applyBorder="1" applyAlignment="1">
      <alignment horizontal="left"/>
    </xf>
    <xf numFmtId="170" fontId="17" fillId="3" borderId="9" xfId="7" applyNumberFormat="1" applyFont="1" applyFill="1" applyBorder="1" applyAlignment="1">
      <alignment horizontal="left" wrapText="1"/>
    </xf>
    <xf numFmtId="170" fontId="16" fillId="3" borderId="7" xfId="7" applyNumberFormat="1" applyFont="1" applyFill="1" applyBorder="1" applyAlignment="1">
      <alignment horizontal="left"/>
    </xf>
    <xf numFmtId="170" fontId="17" fillId="3" borderId="3" xfId="7" applyNumberFormat="1" applyFont="1" applyFill="1" applyBorder="1" applyAlignment="1">
      <alignment horizontal="left" vertical="center" wrapText="1"/>
    </xf>
    <xf numFmtId="0" fontId="0" fillId="0" borderId="3" xfId="0" applyBorder="1"/>
    <xf numFmtId="170" fontId="16" fillId="0" borderId="3" xfId="7" applyNumberFormat="1" applyFont="1" applyBorder="1"/>
    <xf numFmtId="170" fontId="16" fillId="0" borderId="0" xfId="7" applyNumberFormat="1" applyFont="1" applyAlignment="1">
      <alignment horizontal="left"/>
    </xf>
    <xf numFmtId="170" fontId="16" fillId="0" borderId="3" xfId="7" applyNumberFormat="1" applyFont="1" applyBorder="1" applyAlignment="1">
      <alignment horizontal="left"/>
    </xf>
    <xf numFmtId="166" fontId="0" fillId="0" borderId="3" xfId="6" applyNumberFormat="1" applyFont="1" applyBorder="1"/>
    <xf numFmtId="166" fontId="0" fillId="0" borderId="3" xfId="0" applyNumberFormat="1" applyBorder="1"/>
    <xf numFmtId="0" fontId="0" fillId="0" borderId="3" xfId="0" applyBorder="1" applyAlignment="1">
      <alignment wrapText="1"/>
    </xf>
    <xf numFmtId="0" fontId="0" fillId="0" borderId="3" xfId="0" applyBorder="1" applyAlignment="1">
      <alignment horizontal="center"/>
    </xf>
    <xf numFmtId="0" fontId="13" fillId="6" borderId="3" xfId="6" applyNumberFormat="1" applyFont="1" applyFill="1" applyBorder="1" applyAlignment="1">
      <alignment horizontal="center" vertical="center" wrapText="1"/>
    </xf>
    <xf numFmtId="170" fontId="0" fillId="0" borderId="0" xfId="0" applyNumberFormat="1"/>
    <xf numFmtId="0" fontId="16" fillId="0" borderId="3" xfId="0" applyFont="1" applyBorder="1" applyAlignment="1">
      <alignment horizontal="center"/>
    </xf>
    <xf numFmtId="170" fontId="16" fillId="3" borderId="3" xfId="7" applyNumberFormat="1" applyFont="1" applyFill="1" applyBorder="1" applyAlignment="1"/>
    <xf numFmtId="166" fontId="7" fillId="0" borderId="7" xfId="6" applyNumberFormat="1" applyFont="1" applyBorder="1" applyAlignment="1">
      <alignment horizontal="center" vertical="center"/>
    </xf>
    <xf numFmtId="166" fontId="12" fillId="0" borderId="3" xfId="6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70" fontId="15" fillId="3" borderId="3" xfId="7" applyNumberFormat="1" applyFont="1" applyFill="1" applyBorder="1"/>
    <xf numFmtId="37" fontId="14" fillId="3" borderId="7" xfId="8" applyNumberFormat="1" applyFont="1" applyFill="1" applyBorder="1" applyAlignment="1">
      <alignment vertical="center" wrapText="1"/>
    </xf>
    <xf numFmtId="166" fontId="0" fillId="0" borderId="0" xfId="0" applyNumberFormat="1"/>
    <xf numFmtId="166" fontId="14" fillId="3" borderId="7" xfId="6" applyNumberFormat="1" applyFont="1" applyFill="1" applyBorder="1" applyAlignment="1">
      <alignment horizontal="left" vertical="center"/>
    </xf>
    <xf numFmtId="170" fontId="14" fillId="3" borderId="7" xfId="7" applyNumberFormat="1" applyFont="1" applyFill="1" applyBorder="1" applyAlignment="1">
      <alignment horizontal="center" vertical="center"/>
    </xf>
    <xf numFmtId="166" fontId="14" fillId="3" borderId="11" xfId="6" applyNumberFormat="1" applyFont="1" applyFill="1" applyBorder="1" applyAlignment="1">
      <alignment horizontal="center" vertical="center"/>
    </xf>
    <xf numFmtId="166" fontId="0" fillId="0" borderId="28" xfId="0" applyNumberFormat="1" applyBorder="1"/>
    <xf numFmtId="170" fontId="15" fillId="3" borderId="3" xfId="7" applyNumberFormat="1" applyFont="1" applyFill="1" applyBorder="1" applyAlignment="1">
      <alignment vertical="center"/>
    </xf>
    <xf numFmtId="0" fontId="0" fillId="7" borderId="0" xfId="0" applyFill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9" fontId="0" fillId="0" borderId="23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170" fontId="16" fillId="3" borderId="1" xfId="7" applyNumberFormat="1" applyFont="1" applyFill="1" applyBorder="1" applyAlignment="1">
      <alignment horizontal="center"/>
    </xf>
    <xf numFmtId="170" fontId="16" fillId="3" borderId="4" xfId="7" applyNumberFormat="1" applyFont="1" applyFill="1" applyBorder="1" applyAlignment="1">
      <alignment horizontal="center"/>
    </xf>
    <xf numFmtId="170" fontId="16" fillId="3" borderId="2" xfId="7" applyNumberFormat="1" applyFont="1" applyFill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43" fontId="14" fillId="3" borderId="4" xfId="7" applyFont="1" applyFill="1" applyBorder="1" applyAlignment="1">
      <alignment horizontal="center" vertical="center"/>
    </xf>
    <xf numFmtId="37" fontId="14" fillId="3" borderId="18" xfId="8" applyNumberFormat="1" applyFont="1" applyFill="1" applyBorder="1" applyAlignment="1">
      <alignment horizontal="center" vertical="center"/>
    </xf>
    <xf numFmtId="37" fontId="14" fillId="3" borderId="19" xfId="8" applyNumberFormat="1" applyFont="1" applyFill="1" applyBorder="1" applyAlignment="1">
      <alignment horizontal="center" vertical="center"/>
    </xf>
    <xf numFmtId="37" fontId="14" fillId="3" borderId="20" xfId="8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9" fillId="0" borderId="0" xfId="0" applyFont="1"/>
    <xf numFmtId="0" fontId="21" fillId="9" borderId="3" xfId="6" applyNumberFormat="1" applyFont="1" applyFill="1" applyBorder="1" applyAlignment="1">
      <alignment horizontal="left" vertical="center" wrapText="1"/>
    </xf>
    <xf numFmtId="0" fontId="21" fillId="9" borderId="3" xfId="6" applyNumberFormat="1" applyFont="1" applyFill="1" applyBorder="1" applyAlignment="1">
      <alignment horizontal="left" vertical="center"/>
    </xf>
    <xf numFmtId="0" fontId="21" fillId="9" borderId="3" xfId="7" applyNumberFormat="1" applyFont="1" applyFill="1" applyBorder="1" applyAlignment="1">
      <alignment horizontal="left" vertical="center"/>
    </xf>
    <xf numFmtId="170" fontId="15" fillId="3" borderId="7" xfId="7" applyNumberFormat="1" applyFont="1" applyFill="1" applyBorder="1" applyAlignment="1">
      <alignment horizontal="left" wrapText="1"/>
    </xf>
    <xf numFmtId="170" fontId="15" fillId="3" borderId="3" xfId="7" applyNumberFormat="1" applyFont="1" applyFill="1" applyBorder="1" applyAlignment="1">
      <alignment horizontal="center"/>
    </xf>
    <xf numFmtId="170" fontId="15" fillId="3" borderId="7" xfId="7" applyNumberFormat="1" applyFont="1" applyFill="1" applyBorder="1" applyAlignment="1">
      <alignment horizontal="left" vertical="center" wrapText="1"/>
    </xf>
    <xf numFmtId="170" fontId="15" fillId="3" borderId="1" xfId="7" applyNumberFormat="1" applyFont="1" applyFill="1" applyBorder="1" applyAlignment="1">
      <alignment horizontal="center"/>
    </xf>
    <xf numFmtId="0" fontId="21" fillId="9" borderId="33" xfId="0" applyFont="1" applyFill="1" applyBorder="1" applyAlignment="1">
      <alignment horizontal="left" vertical="center"/>
    </xf>
    <xf numFmtId="0" fontId="21" fillId="9" borderId="34" xfId="0" applyFont="1" applyFill="1" applyBorder="1" applyAlignment="1">
      <alignment horizontal="left" vertical="center"/>
    </xf>
    <xf numFmtId="170" fontId="15" fillId="3" borderId="7" xfId="7" applyNumberFormat="1" applyFont="1" applyFill="1" applyBorder="1"/>
    <xf numFmtId="166" fontId="14" fillId="3" borderId="7" xfId="6" applyNumberFormat="1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left" vertical="center"/>
    </xf>
    <xf numFmtId="166" fontId="0" fillId="0" borderId="32" xfId="0" applyNumberFormat="1" applyBorder="1"/>
    <xf numFmtId="165" fontId="14" fillId="3" borderId="7" xfId="8" applyNumberFormat="1" applyFont="1" applyFill="1" applyBorder="1" applyAlignment="1">
      <alignment horizontal="center" vertical="center"/>
    </xf>
    <xf numFmtId="168" fontId="14" fillId="3" borderId="7" xfId="9" applyFont="1" applyFill="1" applyBorder="1" applyAlignment="1" applyProtection="1">
      <alignment horizontal="center" vertical="center"/>
    </xf>
    <xf numFmtId="37" fontId="14" fillId="3" borderId="7" xfId="8" applyNumberFormat="1" applyFont="1" applyFill="1" applyBorder="1" applyAlignment="1">
      <alignment horizontal="center" vertical="center"/>
    </xf>
    <xf numFmtId="37" fontId="14" fillId="3" borderId="11" xfId="8" applyNumberFormat="1" applyFont="1" applyFill="1" applyBorder="1" applyAlignment="1">
      <alignment horizontal="center" vertical="center"/>
    </xf>
    <xf numFmtId="37" fontId="0" fillId="0" borderId="3" xfId="0" applyNumberFormat="1" applyBorder="1"/>
    <xf numFmtId="166" fontId="21" fillId="9" borderId="3" xfId="6" applyNumberFormat="1" applyFont="1" applyFill="1" applyBorder="1" applyAlignment="1">
      <alignment horizontal="left" vertical="center" wrapText="1"/>
    </xf>
    <xf numFmtId="170" fontId="14" fillId="3" borderId="3" xfId="7" applyNumberFormat="1" applyFont="1" applyFill="1" applyBorder="1" applyAlignment="1">
      <alignment vertical="center"/>
    </xf>
    <xf numFmtId="0" fontId="22" fillId="9" borderId="33" xfId="0" applyFont="1" applyFill="1" applyBorder="1" applyAlignment="1">
      <alignment horizontal="left" vertical="center"/>
    </xf>
    <xf numFmtId="0" fontId="22" fillId="9" borderId="34" xfId="0" applyFont="1" applyFill="1" applyBorder="1" applyAlignment="1">
      <alignment horizontal="left" vertical="center"/>
    </xf>
    <xf numFmtId="0" fontId="22" fillId="9" borderId="3" xfId="0" applyFont="1" applyFill="1" applyBorder="1" applyAlignment="1">
      <alignment horizontal="left" vertical="center"/>
    </xf>
    <xf numFmtId="0" fontId="22" fillId="9" borderId="3" xfId="7" applyNumberFormat="1" applyFont="1" applyFill="1" applyBorder="1" applyAlignment="1">
      <alignment horizontal="left" vertical="center" wrapText="1"/>
    </xf>
    <xf numFmtId="170" fontId="15" fillId="3" borderId="3" xfId="7" applyNumberFormat="1" applyFont="1" applyFill="1" applyBorder="1" applyAlignment="1"/>
    <xf numFmtId="0" fontId="22" fillId="9" borderId="3" xfId="7" applyNumberFormat="1" applyFont="1" applyFill="1" applyBorder="1" applyAlignment="1">
      <alignment horizontal="left" vertical="center"/>
    </xf>
    <xf numFmtId="166" fontId="22" fillId="9" borderId="3" xfId="6" applyNumberFormat="1" applyFont="1" applyFill="1" applyBorder="1" applyAlignment="1">
      <alignment horizontal="left" vertical="center" wrapText="1"/>
    </xf>
    <xf numFmtId="0" fontId="21" fillId="9" borderId="35" xfId="0" applyFont="1" applyFill="1" applyBorder="1" applyAlignment="1">
      <alignment horizontal="left" vertical="center"/>
    </xf>
    <xf numFmtId="0" fontId="21" fillId="9" borderId="36" xfId="0" applyFont="1" applyFill="1" applyBorder="1" applyAlignment="1">
      <alignment horizontal="left" vertical="center" wrapText="1"/>
    </xf>
    <xf numFmtId="166" fontId="21" fillId="9" borderId="35" xfId="6" applyNumberFormat="1" applyFont="1" applyFill="1" applyBorder="1" applyAlignment="1">
      <alignment horizontal="left" vertical="center" wrapText="1"/>
    </xf>
    <xf numFmtId="43" fontId="15" fillId="3" borderId="3" xfId="7" applyFont="1" applyFill="1" applyBorder="1"/>
    <xf numFmtId="170" fontId="15" fillId="3" borderId="0" xfId="7" applyNumberFormat="1" applyFont="1" applyFill="1" applyBorder="1" applyAlignment="1">
      <alignment horizontal="center"/>
    </xf>
    <xf numFmtId="166" fontId="21" fillId="9" borderId="7" xfId="6" applyNumberFormat="1" applyFont="1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169" fontId="14" fillId="3" borderId="3" xfId="9" applyNumberFormat="1" applyFont="1" applyFill="1" applyBorder="1" applyAlignment="1" applyProtection="1">
      <alignment horizontal="center" vertical="center"/>
    </xf>
    <xf numFmtId="39" fontId="14" fillId="3" borderId="3" xfId="8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6" fontId="21" fillId="9" borderId="3" xfId="6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6" fontId="14" fillId="3" borderId="14" xfId="6" applyNumberFormat="1" applyFont="1" applyFill="1" applyBorder="1" applyAlignment="1">
      <alignment vertical="center"/>
    </xf>
    <xf numFmtId="166" fontId="14" fillId="3" borderId="15" xfId="6" applyNumberFormat="1" applyFont="1" applyFill="1" applyBorder="1" applyAlignment="1">
      <alignment vertical="center"/>
    </xf>
    <xf numFmtId="166" fontId="14" fillId="3" borderId="28" xfId="6" applyNumberFormat="1" applyFont="1" applyFill="1" applyBorder="1" applyAlignment="1">
      <alignment vertical="center"/>
    </xf>
    <xf numFmtId="166" fontId="14" fillId="3" borderId="6" xfId="6" applyNumberFormat="1" applyFont="1" applyFill="1" applyBorder="1" applyAlignment="1">
      <alignment horizontal="center" vertical="center"/>
    </xf>
    <xf numFmtId="165" fontId="14" fillId="3" borderId="3" xfId="8" applyNumberFormat="1" applyFont="1" applyFill="1" applyBorder="1" applyAlignment="1">
      <alignment horizontal="left" vertical="center"/>
    </xf>
    <xf numFmtId="166" fontId="14" fillId="3" borderId="3" xfId="6" applyNumberFormat="1" applyFont="1" applyFill="1" applyBorder="1" applyAlignment="1">
      <alignment vertical="center"/>
    </xf>
    <xf numFmtId="0" fontId="21" fillId="9" borderId="3" xfId="7" applyNumberFormat="1" applyFont="1" applyFill="1" applyBorder="1" applyAlignment="1">
      <alignment horizontal="left" vertical="center" wrapText="1"/>
    </xf>
    <xf numFmtId="166" fontId="0" fillId="0" borderId="15" xfId="0" applyNumberFormat="1" applyBorder="1"/>
    <xf numFmtId="37" fontId="14" fillId="3" borderId="8" xfId="8" applyNumberFormat="1" applyFont="1" applyFill="1" applyBorder="1" applyAlignment="1">
      <alignment vertical="center" wrapText="1"/>
    </xf>
    <xf numFmtId="170" fontId="11" fillId="3" borderId="3" xfId="7" applyNumberFormat="1" applyFont="1" applyFill="1" applyBorder="1" applyAlignment="1">
      <alignment horizontal="center"/>
    </xf>
    <xf numFmtId="170" fontId="11" fillId="3" borderId="0" xfId="7" applyNumberFormat="1" applyFont="1" applyFill="1" applyBorder="1" applyAlignment="1">
      <alignment horizontal="center"/>
    </xf>
    <xf numFmtId="0" fontId="0" fillId="0" borderId="15" xfId="0" applyBorder="1"/>
    <xf numFmtId="166" fontId="0" fillId="0" borderId="25" xfId="0" applyNumberFormat="1" applyBorder="1"/>
    <xf numFmtId="166" fontId="0" fillId="0" borderId="16" xfId="0" applyNumberFormat="1" applyBorder="1"/>
    <xf numFmtId="1" fontId="1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70" fontId="15" fillId="3" borderId="3" xfId="7" applyNumberFormat="1" applyFont="1" applyFill="1" applyBorder="1" applyAlignment="1">
      <alignment horizontal="left"/>
    </xf>
    <xf numFmtId="44" fontId="19" fillId="0" borderId="0" xfId="0" applyNumberFormat="1" applyFont="1"/>
    <xf numFmtId="43" fontId="15" fillId="3" borderId="3" xfId="7" applyFont="1" applyFill="1" applyBorder="1" applyAlignment="1">
      <alignment horizontal="center"/>
    </xf>
    <xf numFmtId="43" fontId="16" fillId="3" borderId="3" xfId="7" applyFont="1" applyFill="1" applyBorder="1" applyAlignment="1">
      <alignment horizontal="center"/>
    </xf>
    <xf numFmtId="0" fontId="0" fillId="0" borderId="14" xfId="0" applyBorder="1"/>
    <xf numFmtId="0" fontId="0" fillId="0" borderId="38" xfId="0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6" xfId="0" applyNumberFormat="1" applyBorder="1"/>
    <xf numFmtId="0" fontId="0" fillId="0" borderId="16" xfId="0" applyBorder="1"/>
    <xf numFmtId="0" fontId="23" fillId="9" borderId="3" xfId="7" applyNumberFormat="1" applyFont="1" applyFill="1" applyBorder="1" applyAlignment="1">
      <alignment horizontal="left" vertical="center"/>
    </xf>
    <xf numFmtId="171" fontId="14" fillId="3" borderId="3" xfId="7" applyNumberFormat="1" applyFont="1" applyFill="1" applyBorder="1" applyAlignment="1">
      <alignment vertical="center"/>
    </xf>
    <xf numFmtId="166" fontId="0" fillId="4" borderId="0" xfId="0" applyNumberFormat="1" applyFill="1"/>
    <xf numFmtId="166" fontId="23" fillId="9" borderId="3" xfId="6" applyNumberFormat="1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8" xfId="0" applyBorder="1"/>
    <xf numFmtId="168" fontId="14" fillId="3" borderId="8" xfId="9" applyFont="1" applyFill="1" applyBorder="1" applyAlignment="1" applyProtection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0" fillId="8" borderId="3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6" fontId="19" fillId="0" borderId="0" xfId="6" applyNumberFormat="1" applyFont="1"/>
    <xf numFmtId="0" fontId="19" fillId="0" borderId="0" xfId="0" applyFont="1" applyAlignment="1">
      <alignment wrapText="1"/>
    </xf>
    <xf numFmtId="0" fontId="21" fillId="9" borderId="0" xfId="0" applyFont="1" applyFill="1" applyAlignment="1">
      <alignment horizontal="left" vertical="center" wrapText="1"/>
    </xf>
    <xf numFmtId="166" fontId="19" fillId="0" borderId="0" xfId="6" applyNumberFormat="1" applyFont="1" applyBorder="1"/>
    <xf numFmtId="0" fontId="20" fillId="8" borderId="31" xfId="0" applyFont="1" applyFill="1" applyBorder="1" applyAlignment="1">
      <alignment horizontal="center" vertical="center" wrapText="1"/>
    </xf>
    <xf numFmtId="0" fontId="20" fillId="8" borderId="30" xfId="0" applyFont="1" applyFill="1" applyBorder="1" applyAlignment="1">
      <alignment horizontal="center" vertical="center" wrapText="1"/>
    </xf>
    <xf numFmtId="166" fontId="0" fillId="0" borderId="20" xfId="0" applyNumberFormat="1" applyBorder="1"/>
    <xf numFmtId="166" fontId="21" fillId="9" borderId="29" xfId="6" applyNumberFormat="1" applyFont="1" applyFill="1" applyBorder="1" applyAlignment="1">
      <alignment horizontal="right" vertical="center"/>
    </xf>
    <xf numFmtId="0" fontId="14" fillId="9" borderId="3" xfId="0" applyFont="1" applyFill="1" applyBorder="1" applyAlignment="1">
      <alignment horizontal="left" vertical="center"/>
    </xf>
    <xf numFmtId="171" fontId="15" fillId="3" borderId="3" xfId="7" applyNumberFormat="1" applyFont="1" applyFill="1" applyBorder="1" applyAlignment="1"/>
    <xf numFmtId="43" fontId="15" fillId="3" borderId="3" xfId="7" applyFont="1" applyFill="1" applyBorder="1" applyAlignment="1"/>
    <xf numFmtId="0" fontId="14" fillId="9" borderId="33" xfId="0" applyFont="1" applyFill="1" applyBorder="1" applyAlignment="1">
      <alignment horizontal="left" vertical="center"/>
    </xf>
    <xf numFmtId="0" fontId="14" fillId="9" borderId="34" xfId="0" applyFont="1" applyFill="1" applyBorder="1" applyAlignment="1">
      <alignment horizontal="left" vertical="center"/>
    </xf>
    <xf numFmtId="0" fontId="26" fillId="9" borderId="33" xfId="0" applyFont="1" applyFill="1" applyBorder="1" applyAlignment="1">
      <alignment horizontal="left" vertical="center"/>
    </xf>
    <xf numFmtId="0" fontId="26" fillId="9" borderId="35" xfId="0" applyFont="1" applyFill="1" applyBorder="1" applyAlignment="1">
      <alignment horizontal="left" vertical="center"/>
    </xf>
    <xf numFmtId="165" fontId="14" fillId="3" borderId="8" xfId="8" applyNumberFormat="1" applyFont="1" applyFill="1" applyBorder="1" applyAlignment="1">
      <alignment horizontal="center" vertical="center"/>
    </xf>
    <xf numFmtId="169" fontId="14" fillId="3" borderId="8" xfId="9" applyNumberFormat="1" applyFont="1" applyFill="1" applyBorder="1" applyAlignment="1" applyProtection="1">
      <alignment horizontal="center" vertical="center"/>
    </xf>
    <xf numFmtId="39" fontId="14" fillId="3" borderId="8" xfId="8" applyNumberFormat="1" applyFont="1" applyFill="1" applyBorder="1" applyAlignment="1">
      <alignment horizontal="left" vertical="center"/>
    </xf>
    <xf numFmtId="37" fontId="14" fillId="3" borderId="27" xfId="8" applyNumberFormat="1" applyFont="1" applyFill="1" applyBorder="1" applyAlignment="1">
      <alignment horizontal="center" vertical="center"/>
    </xf>
    <xf numFmtId="0" fontId="21" fillId="9" borderId="6" xfId="0" applyFont="1" applyFill="1" applyBorder="1" applyAlignment="1">
      <alignment horizontal="left" vertical="center"/>
    </xf>
    <xf numFmtId="170" fontId="15" fillId="3" borderId="6" xfId="7" applyNumberFormat="1" applyFont="1" applyFill="1" applyBorder="1"/>
    <xf numFmtId="171" fontId="14" fillId="3" borderId="6" xfId="7" applyNumberFormat="1" applyFont="1" applyFill="1" applyBorder="1" applyAlignment="1" applyProtection="1">
      <alignment horizontal="center" vertical="center"/>
    </xf>
    <xf numFmtId="0" fontId="21" fillId="9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vertical="top" wrapText="1"/>
    </xf>
    <xf numFmtId="0" fontId="27" fillId="0" borderId="3" xfId="0" applyFont="1" applyBorder="1" applyAlignment="1">
      <alignment vertical="top" wrapText="1"/>
    </xf>
    <xf numFmtId="172" fontId="27" fillId="0" borderId="3" xfId="0" applyNumberFormat="1" applyFont="1" applyBorder="1" applyAlignment="1">
      <alignment vertical="top" wrapText="1"/>
    </xf>
    <xf numFmtId="172" fontId="4" fillId="0" borderId="3" xfId="0" applyNumberFormat="1" applyFont="1" applyBorder="1" applyAlignment="1">
      <alignment vertical="top" wrapText="1"/>
    </xf>
    <xf numFmtId="171" fontId="15" fillId="3" borderId="3" xfId="7" applyNumberFormat="1" applyFont="1" applyFill="1" applyBorder="1"/>
    <xf numFmtId="44" fontId="19" fillId="0" borderId="0" xfId="6" applyFont="1" applyBorder="1"/>
    <xf numFmtId="171" fontId="15" fillId="3" borderId="3" xfId="7" applyNumberFormat="1" applyFont="1" applyFill="1" applyBorder="1" applyAlignment="1">
      <alignment horizontal="center"/>
    </xf>
    <xf numFmtId="166" fontId="0" fillId="0" borderId="3" xfId="6" applyNumberFormat="1" applyFont="1" applyBorder="1" applyAlignment="1">
      <alignment horizontal="center"/>
    </xf>
    <xf numFmtId="166" fontId="0" fillId="0" borderId="8" xfId="6" applyNumberFormat="1" applyFont="1" applyBorder="1"/>
    <xf numFmtId="166" fontId="0" fillId="0" borderId="17" xfId="6" applyNumberFormat="1" applyFont="1" applyBorder="1"/>
    <xf numFmtId="166" fontId="0" fillId="10" borderId="0" xfId="6" applyNumberFormat="1" applyFont="1" applyFill="1"/>
    <xf numFmtId="166" fontId="21" fillId="9" borderId="0" xfId="6" applyNumberFormat="1" applyFont="1" applyFill="1" applyBorder="1" applyAlignment="1">
      <alignment horizontal="left" vertical="center" wrapText="1"/>
    </xf>
    <xf numFmtId="0" fontId="19" fillId="0" borderId="7" xfId="0" applyFont="1" applyBorder="1" applyAlignment="1">
      <alignment wrapText="1"/>
    </xf>
    <xf numFmtId="166" fontId="19" fillId="0" borderId="29" xfId="6" applyNumberFormat="1" applyFont="1" applyBorder="1"/>
    <xf numFmtId="166" fontId="21" fillId="9" borderId="0" xfId="6" applyNumberFormat="1" applyFont="1" applyFill="1" applyBorder="1" applyAlignment="1">
      <alignment horizontal="right" vertical="center"/>
    </xf>
    <xf numFmtId="166" fontId="19" fillId="0" borderId="13" xfId="6" applyNumberFormat="1" applyFont="1" applyBorder="1"/>
    <xf numFmtId="166" fontId="0" fillId="10" borderId="0" xfId="0" applyNumberFormat="1" applyFill="1"/>
    <xf numFmtId="0" fontId="19" fillId="0" borderId="33" xfId="0" applyFont="1" applyBorder="1" applyAlignment="1">
      <alignment wrapText="1"/>
    </xf>
    <xf numFmtId="0" fontId="19" fillId="11" borderId="33" xfId="0" applyFont="1" applyFill="1" applyBorder="1" applyAlignment="1">
      <alignment wrapText="1"/>
    </xf>
    <xf numFmtId="166" fontId="21" fillId="9" borderId="33" xfId="6" applyNumberFormat="1" applyFont="1" applyFill="1" applyBorder="1" applyAlignment="1">
      <alignment horizontal="left" vertical="center" wrapText="1"/>
    </xf>
    <xf numFmtId="43" fontId="14" fillId="3" borderId="3" xfId="7" applyFont="1" applyFill="1" applyBorder="1" applyAlignment="1">
      <alignment horizontal="center" vertical="center"/>
    </xf>
    <xf numFmtId="44" fontId="0" fillId="0" borderId="0" xfId="6" applyFont="1"/>
    <xf numFmtId="0" fontId="20" fillId="8" borderId="39" xfId="0" applyFont="1" applyFill="1" applyBorder="1" applyAlignment="1">
      <alignment horizontal="center" vertical="center" wrapText="1"/>
    </xf>
    <xf numFmtId="0" fontId="20" fillId="8" borderId="40" xfId="0" applyFont="1" applyFill="1" applyBorder="1" applyAlignment="1">
      <alignment horizontal="center" vertical="center"/>
    </xf>
    <xf numFmtId="0" fontId="0" fillId="10" borderId="0" xfId="0" applyFill="1"/>
    <xf numFmtId="170" fontId="14" fillId="3" borderId="3" xfId="7" applyNumberFormat="1" applyFont="1" applyFill="1" applyBorder="1" applyAlignment="1">
      <alignment horizontal="right" vertical="center"/>
    </xf>
    <xf numFmtId="170" fontId="14" fillId="3" borderId="7" xfId="7" applyNumberFormat="1" applyFont="1" applyFill="1" applyBorder="1" applyAlignment="1">
      <alignment horizontal="right" vertical="center"/>
    </xf>
    <xf numFmtId="165" fontId="14" fillId="3" borderId="6" xfId="8" applyNumberFormat="1" applyFont="1" applyFill="1" applyBorder="1" applyAlignment="1">
      <alignment horizontal="right" vertical="center"/>
    </xf>
    <xf numFmtId="0" fontId="21" fillId="9" borderId="33" xfId="0" applyFont="1" applyFill="1" applyBorder="1" applyAlignment="1">
      <alignment horizontal="left" vertical="center" wrapText="1"/>
    </xf>
    <xf numFmtId="0" fontId="21" fillId="9" borderId="34" xfId="0" applyFont="1" applyFill="1" applyBorder="1" applyAlignment="1">
      <alignment horizontal="left" vertical="center" wrapText="1"/>
    </xf>
    <xf numFmtId="166" fontId="19" fillId="11" borderId="41" xfId="6" applyNumberFormat="1" applyFont="1" applyFill="1" applyBorder="1"/>
    <xf numFmtId="37" fontId="0" fillId="12" borderId="3" xfId="0" applyNumberFormat="1" applyFill="1" applyBorder="1" applyAlignment="1">
      <alignment horizontal="center"/>
    </xf>
    <xf numFmtId="0" fontId="11" fillId="11" borderId="33" xfId="0" applyFont="1" applyFill="1" applyBorder="1" applyAlignment="1">
      <alignment wrapText="1"/>
    </xf>
    <xf numFmtId="170" fontId="9" fillId="3" borderId="3" xfId="7" applyNumberFormat="1" applyFont="1" applyFill="1" applyBorder="1" applyAlignment="1">
      <alignment horizontal="center" vertical="center"/>
    </xf>
    <xf numFmtId="171" fontId="9" fillId="3" borderId="3" xfId="7" applyNumberFormat="1" applyFont="1" applyFill="1" applyBorder="1" applyAlignment="1" applyProtection="1">
      <alignment horizontal="center" vertical="center"/>
    </xf>
    <xf numFmtId="166" fontId="11" fillId="11" borderId="41" xfId="6" applyNumberFormat="1" applyFont="1" applyFill="1" applyBorder="1"/>
    <xf numFmtId="166" fontId="9" fillId="3" borderId="1" xfId="6" applyNumberFormat="1" applyFont="1" applyFill="1" applyBorder="1" applyAlignment="1">
      <alignment horizontal="center" vertical="center"/>
    </xf>
    <xf numFmtId="0" fontId="28" fillId="9" borderId="33" xfId="0" applyFont="1" applyFill="1" applyBorder="1" applyAlignment="1">
      <alignment horizontal="left" vertical="center" wrapText="1"/>
    </xf>
    <xf numFmtId="170" fontId="29" fillId="3" borderId="3" xfId="7" applyNumberFormat="1" applyFont="1" applyFill="1" applyBorder="1"/>
    <xf numFmtId="166" fontId="9" fillId="3" borderId="3" xfId="6" applyNumberFormat="1" applyFont="1" applyFill="1" applyBorder="1" applyAlignment="1">
      <alignment horizontal="center" vertical="center"/>
    </xf>
    <xf numFmtId="0" fontId="28" fillId="9" borderId="34" xfId="0" applyFont="1" applyFill="1" applyBorder="1" applyAlignment="1">
      <alignment horizontal="left" vertical="center" wrapText="1"/>
    </xf>
    <xf numFmtId="0" fontId="28" fillId="9" borderId="3" xfId="0" applyFont="1" applyFill="1" applyBorder="1" applyAlignment="1">
      <alignment horizontal="left" vertical="center" wrapText="1"/>
    </xf>
    <xf numFmtId="43" fontId="29" fillId="3" borderId="3" xfId="7" applyFont="1" applyFill="1" applyBorder="1"/>
    <xf numFmtId="0" fontId="0" fillId="12" borderId="0" xfId="0" applyFill="1"/>
    <xf numFmtId="0" fontId="19" fillId="0" borderId="33" xfId="0" applyFont="1" applyBorder="1" applyAlignment="1">
      <alignment vertical="top" wrapText="1"/>
    </xf>
    <xf numFmtId="0" fontId="19" fillId="13" borderId="33" xfId="0" applyFont="1" applyFill="1" applyBorder="1" applyAlignment="1">
      <alignment wrapText="1"/>
    </xf>
    <xf numFmtId="0" fontId="19" fillId="0" borderId="33" xfId="0" applyFont="1" applyBorder="1"/>
    <xf numFmtId="0" fontId="19" fillId="11" borderId="3" xfId="0" applyFont="1" applyFill="1" applyBorder="1" applyAlignment="1">
      <alignment wrapText="1"/>
    </xf>
    <xf numFmtId="170" fontId="0" fillId="0" borderId="0" xfId="7" applyNumberFormat="1" applyFont="1"/>
    <xf numFmtId="166" fontId="21" fillId="9" borderId="43" xfId="6" applyNumberFormat="1" applyFont="1" applyFill="1" applyBorder="1" applyAlignment="1">
      <alignment horizontal="right" vertical="center"/>
    </xf>
    <xf numFmtId="166" fontId="19" fillId="0" borderId="41" xfId="6" applyNumberFormat="1" applyFont="1" applyBorder="1"/>
    <xf numFmtId="166" fontId="19" fillId="0" borderId="42" xfId="6" applyNumberFormat="1" applyFont="1" applyBorder="1"/>
    <xf numFmtId="166" fontId="21" fillId="9" borderId="41" xfId="6" applyNumberFormat="1" applyFont="1" applyFill="1" applyBorder="1" applyAlignment="1">
      <alignment horizontal="right" vertical="center"/>
    </xf>
    <xf numFmtId="44" fontId="15" fillId="3" borderId="3" xfId="6" applyFont="1" applyFill="1" applyBorder="1" applyAlignment="1">
      <alignment horizontal="center"/>
    </xf>
    <xf numFmtId="44" fontId="16" fillId="3" borderId="3" xfId="6" applyFont="1" applyFill="1" applyBorder="1" applyAlignment="1">
      <alignment horizontal="center"/>
    </xf>
    <xf numFmtId="166" fontId="11" fillId="0" borderId="17" xfId="0" applyNumberFormat="1" applyFont="1" applyBorder="1"/>
    <xf numFmtId="166" fontId="30" fillId="9" borderId="3" xfId="6" applyNumberFormat="1" applyFont="1" applyFill="1" applyBorder="1" applyAlignment="1">
      <alignment horizontal="left" vertical="center" wrapText="1"/>
    </xf>
    <xf numFmtId="166" fontId="30" fillId="9" borderId="13" xfId="6" applyNumberFormat="1" applyFont="1" applyFill="1" applyBorder="1" applyAlignment="1">
      <alignment horizontal="right" vertical="center"/>
    </xf>
    <xf numFmtId="166" fontId="30" fillId="9" borderId="7" xfId="6" applyNumberFormat="1" applyFont="1" applyFill="1" applyBorder="1" applyAlignment="1">
      <alignment horizontal="left" vertical="center" wrapText="1"/>
    </xf>
    <xf numFmtId="166" fontId="30" fillId="9" borderId="29" xfId="6" applyNumberFormat="1" applyFont="1" applyFill="1" applyBorder="1" applyAlignment="1">
      <alignment horizontal="right" vertical="center"/>
    </xf>
    <xf numFmtId="0" fontId="30" fillId="9" borderId="0" xfId="0" applyFont="1" applyFill="1" applyAlignment="1">
      <alignment horizontal="left" vertical="center" wrapText="1"/>
    </xf>
    <xf numFmtId="166" fontId="30" fillId="9" borderId="0" xfId="6" applyNumberFormat="1" applyFont="1" applyFill="1" applyBorder="1" applyAlignment="1">
      <alignment horizontal="left" vertical="center" wrapText="1"/>
    </xf>
    <xf numFmtId="166" fontId="30" fillId="9" borderId="0" xfId="6" applyNumberFormat="1" applyFont="1" applyFill="1" applyBorder="1" applyAlignment="1">
      <alignment horizontal="right" vertical="center"/>
    </xf>
    <xf numFmtId="166" fontId="21" fillId="9" borderId="13" xfId="6" applyNumberFormat="1" applyFont="1" applyFill="1" applyBorder="1" applyAlignment="1">
      <alignment horizontal="right" vertical="center"/>
    </xf>
    <xf numFmtId="0" fontId="0" fillId="0" borderId="20" xfId="0" applyBorder="1"/>
    <xf numFmtId="166" fontId="14" fillId="3" borderId="14" xfId="6" applyNumberFormat="1" applyFont="1" applyFill="1" applyBorder="1" applyAlignment="1">
      <alignment vertical="center" wrapText="1"/>
    </xf>
    <xf numFmtId="166" fontId="14" fillId="3" borderId="15" xfId="6" applyNumberFormat="1" applyFont="1" applyFill="1" applyBorder="1" applyAlignment="1">
      <alignment vertical="center" wrapText="1"/>
    </xf>
    <xf numFmtId="166" fontId="14" fillId="3" borderId="28" xfId="6" applyNumberFormat="1" applyFont="1" applyFill="1" applyBorder="1" applyAlignment="1">
      <alignment vertical="center" wrapText="1"/>
    </xf>
    <xf numFmtId="0" fontId="0" fillId="0" borderId="6" xfId="0" applyBorder="1"/>
    <xf numFmtId="166" fontId="0" fillId="12" borderId="0" xfId="0" applyNumberFormat="1" applyFill="1"/>
    <xf numFmtId="0" fontId="21" fillId="9" borderId="7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170" fontId="15" fillId="3" borderId="3" xfId="7" applyNumberFormat="1" applyFont="1" applyFill="1" applyBorder="1" applyAlignment="1">
      <alignment horizontal="center"/>
    </xf>
    <xf numFmtId="170" fontId="16" fillId="3" borderId="1" xfId="7" applyNumberFormat="1" applyFont="1" applyFill="1" applyBorder="1" applyAlignment="1">
      <alignment horizontal="center"/>
    </xf>
    <xf numFmtId="170" fontId="16" fillId="3" borderId="4" xfId="7" applyNumberFormat="1" applyFont="1" applyFill="1" applyBorder="1" applyAlignment="1">
      <alignment horizontal="center"/>
    </xf>
    <xf numFmtId="170" fontId="16" fillId="3" borderId="2" xfId="7" applyNumberFormat="1" applyFont="1" applyFill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43" fontId="14" fillId="3" borderId="10" xfId="7" applyFont="1" applyFill="1" applyBorder="1" applyAlignment="1">
      <alignment horizontal="center" vertical="center"/>
    </xf>
    <xf numFmtId="43" fontId="14" fillId="3" borderId="5" xfId="7" applyFont="1" applyFill="1" applyBorder="1" applyAlignment="1">
      <alignment horizontal="center" vertical="center"/>
    </xf>
    <xf numFmtId="37" fontId="14" fillId="3" borderId="18" xfId="8" applyNumberFormat="1" applyFont="1" applyFill="1" applyBorder="1" applyAlignment="1">
      <alignment horizontal="center" vertical="center"/>
    </xf>
    <xf numFmtId="37" fontId="14" fillId="3" borderId="19" xfId="8" applyNumberFormat="1" applyFont="1" applyFill="1" applyBorder="1" applyAlignment="1">
      <alignment horizontal="center" vertical="center"/>
    </xf>
    <xf numFmtId="37" fontId="14" fillId="3" borderId="20" xfId="8" applyNumberFormat="1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9" fontId="0" fillId="0" borderId="23" xfId="0" applyNumberFormat="1" applyBorder="1" applyAlignment="1">
      <alignment horizontal="center"/>
    </xf>
    <xf numFmtId="166" fontId="14" fillId="3" borderId="37" xfId="6" applyNumberFormat="1" applyFont="1" applyFill="1" applyBorder="1" applyAlignment="1">
      <alignment horizontal="center" vertical="center"/>
    </xf>
    <xf numFmtId="166" fontId="14" fillId="3" borderId="26" xfId="6" applyNumberFormat="1" applyFont="1" applyFill="1" applyBorder="1" applyAlignment="1">
      <alignment horizontal="center" vertical="center"/>
    </xf>
    <xf numFmtId="166" fontId="14" fillId="3" borderId="32" xfId="6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43" fontId="14" fillId="3" borderId="3" xfId="7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70" fontId="15" fillId="3" borderId="1" xfId="7" applyNumberFormat="1" applyFont="1" applyFill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37" fontId="14" fillId="3" borderId="3" xfId="8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0" xfId="0" applyNumberFormat="1" applyAlignment="1">
      <alignment horizontal="center"/>
    </xf>
    <xf numFmtId="37" fontId="14" fillId="3" borderId="6" xfId="8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5" fontId="7" fillId="2" borderId="7" xfId="3" applyNumberFormat="1" applyFont="1" applyFill="1" applyBorder="1" applyAlignment="1">
      <alignment horizontal="left"/>
    </xf>
    <xf numFmtId="165" fontId="7" fillId="2" borderId="7" xfId="3" applyNumberFormat="1" applyFont="1" applyFill="1" applyBorder="1" applyAlignment="1">
      <alignment horizontal="center" vertical="center"/>
    </xf>
    <xf numFmtId="3" fontId="7" fillId="0" borderId="3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right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66" fontId="13" fillId="3" borderId="7" xfId="6" applyNumberFormat="1" applyFont="1" applyFill="1" applyBorder="1" applyAlignment="1">
      <alignment horizontal="center" vertical="top" wrapText="1"/>
    </xf>
    <xf numFmtId="166" fontId="13" fillId="3" borderId="8" xfId="6" applyNumberFormat="1" applyFont="1" applyFill="1" applyBorder="1" applyAlignment="1">
      <alignment horizontal="center" vertical="top" wrapText="1"/>
    </xf>
    <xf numFmtId="166" fontId="13" fillId="3" borderId="6" xfId="6" applyNumberFormat="1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170" fontId="16" fillId="3" borderId="0" xfId="7" applyNumberFormat="1" applyFont="1" applyFill="1" applyAlignment="1">
      <alignment horizontal="left" vertical="center"/>
    </xf>
    <xf numFmtId="170" fontId="16" fillId="3" borderId="5" xfId="7" applyNumberFormat="1" applyFont="1" applyFill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29" xfId="0" applyBorder="1" applyAlignment="1">
      <alignment horizontal="center" wrapText="1"/>
    </xf>
    <xf numFmtId="0" fontId="21" fillId="9" borderId="0" xfId="0" applyFont="1" applyFill="1" applyBorder="1" applyAlignment="1">
      <alignment horizontal="left" vertical="center" wrapText="1"/>
    </xf>
    <xf numFmtId="0" fontId="30" fillId="9" borderId="7" xfId="0" applyFont="1" applyFill="1" applyBorder="1" applyAlignment="1">
      <alignment horizontal="left" vertical="center" wrapText="1"/>
    </xf>
  </cellXfs>
  <cellStyles count="10">
    <cellStyle name="Millares" xfId="7" builtinId="3"/>
    <cellStyle name="Millares_Ppto.  Inst. CRACKING" xfId="9" xr:uid="{E858BE5F-EBD5-4B54-8CD6-591CDF67FA75}"/>
    <cellStyle name="Moneda" xfId="6" builtinId="4"/>
    <cellStyle name="Moneda 2" xfId="2" xr:uid="{00000000-0005-0000-0000-000002000000}"/>
    <cellStyle name="Normal" xfId="0" builtinId="0"/>
    <cellStyle name="Normal 4" xfId="4" xr:uid="{00000000-0005-0000-0000-000004000000}"/>
    <cellStyle name="Normal 4 3" xfId="5" xr:uid="{00000000-0005-0000-0000-000005000000}"/>
    <cellStyle name="Normal_GUIA PRESU-JAC-2008-2" xfId="3" xr:uid="{00000000-0005-0000-0000-000006000000}"/>
    <cellStyle name="Normal_RESUMEN SM-PAM-051-98" xfId="8" xr:uid="{C7015E5F-5641-482F-AF78-50986C0E5D9B}"/>
    <cellStyle name="Porcentual_Presupuesto" xfId="1" xr:uid="{00000000-0005-0000-0000-000007000000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theme="4" tint="0.39997558519241921"/>
        </top>
      </border>
    </dxf>
    <dxf>
      <border outline="0">
        <bottom style="thick">
          <color rgb="FF1D23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ck">
          <color rgb="FF1D233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1D233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_-&quot;$&quot;\ * #,##0_-;\-&quot;$&quot;\ * #,##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66" formatCode="_-&quot;$&quot;\ * #,##0_-;\-&quot;$&quot;\ * #,##0_-;_-&quot;$&quot;\ * &quot;-&quot;??_-;_-@_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border outline="0">
        <bottom style="thick">
          <color rgb="FF1D233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1D233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66" formatCode="_-&quot;$&quot;\ * #,##0_-;\-&quot;$&quot;\ * #,##0_-;_-&quot;$&quot;\ * &quot;-&quot;??_-;_-@_-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66" formatCode="_-&quot;$&quot;\ * #,##0_-;\-&quot;$&quot;\ * #,##0_-;_-&quot;$&quot;\ * &quot;-&quot;??_-;_-@_-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1D233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5F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82</xdr:row>
      <xdr:rowOff>142875</xdr:rowOff>
    </xdr:from>
    <xdr:to>
      <xdr:col>2</xdr:col>
      <xdr:colOff>0</xdr:colOff>
      <xdr:row>82</xdr:row>
      <xdr:rowOff>142875</xdr:rowOff>
    </xdr:to>
    <xdr:sp macro="" textlink="">
      <xdr:nvSpPr>
        <xdr:cNvPr id="2" name="Lin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4295775" y="98012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124462</xdr:colOff>
      <xdr:row>0</xdr:row>
      <xdr:rowOff>69557</xdr:rowOff>
    </xdr:from>
    <xdr:to>
      <xdr:col>1</xdr:col>
      <xdr:colOff>402590</xdr:colOff>
      <xdr:row>0</xdr:row>
      <xdr:rowOff>601980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462" y="69557"/>
          <a:ext cx="568958" cy="532423"/>
        </a:xfrm>
        <a:prstGeom prst="rect">
          <a:avLst/>
        </a:prstGeom>
      </xdr:spPr>
    </xdr:pic>
    <xdr:clientData/>
  </xdr:twoCellAnchor>
  <xdr:twoCellAnchor editAs="oneCell">
    <xdr:from>
      <xdr:col>1</xdr:col>
      <xdr:colOff>418605</xdr:colOff>
      <xdr:row>81</xdr:row>
      <xdr:rowOff>100735</xdr:rowOff>
    </xdr:from>
    <xdr:to>
      <xdr:col>2</xdr:col>
      <xdr:colOff>337592</xdr:colOff>
      <xdr:row>82</xdr:row>
      <xdr:rowOff>59117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124BE85-4C63-46F8-A7A8-108BBA525A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753" b="80287" l="5925" r="85817">
                      <a14:foregroundMark x1="16125" y1="27125" x2="16125" y2="27125"/>
                      <a14:foregroundMark x1="7750" y1="67375" x2="7750" y2="67375"/>
                      <a14:foregroundMark x1="21563" y1="23125" x2="21563" y2="23125"/>
                      <a14:foregroundMark x1="24813" y1="29625" x2="24813" y2="29625"/>
                      <a14:foregroundMark x1="28625" y1="24750" x2="28625" y2="24750"/>
                      <a14:foregroundMark x1="33813" y1="28375" x2="33813" y2="28375"/>
                      <a14:foregroundMark x1="30312" y1="29250" x2="30312" y2="29250"/>
                      <a14:foregroundMark x1="30250" y1="30250" x2="30250" y2="30250"/>
                      <a14:foregroundMark x1="30562" y1="29375" x2="30562" y2="29375"/>
                      <a14:foregroundMark x1="30125" y1="29375" x2="30125" y2="29375"/>
                      <a14:foregroundMark x1="30312" y1="29000" x2="30312" y2="29000"/>
                      <a14:foregroundMark x1="30312" y1="29000" x2="30312" y2="29000"/>
                      <a14:foregroundMark x1="30312" y1="29000" x2="30312" y2="29000"/>
                      <a14:foregroundMark x1="30312" y1="29000" x2="30312" y2="29000"/>
                      <a14:foregroundMark x1="30312" y1="29000" x2="30312" y2="29000"/>
                      <a14:foregroundMark x1="30312" y1="29000" x2="30312" y2="29000"/>
                      <a14:foregroundMark x1="30438" y1="28375" x2="30438" y2="28375"/>
                      <a14:foregroundMark x1="30438" y1="28375" x2="30438" y2="28375"/>
                      <a14:foregroundMark x1="49125" y1="21500" x2="49125" y2="21500"/>
                      <a14:foregroundMark x1="50250" y1="11000" x2="50250" y2="11000"/>
                      <a14:foregroundMark x1="57063" y1="24500" x2="57063" y2="24500"/>
                      <a14:foregroundMark x1="62063" y1="22625" x2="62063" y2="22625"/>
                      <a14:foregroundMark x1="65563" y1="23750" x2="65563" y2="23750"/>
                      <a14:foregroundMark x1="73250" y1="21500" x2="73250" y2="21500"/>
                      <a14:foregroundMark x1="73438" y1="36000" x2="73438" y2="36000"/>
                      <a14:foregroundMark x1="76813" y1="20875" x2="76813" y2="20875"/>
                      <a14:foregroundMark x1="83000" y1="19750" x2="83000" y2="19750"/>
                      <a14:foregroundMark x1="85875" y1="14750" x2="85875" y2="14750"/>
                      <a14:foregroundMark x1="47813" y1="32875" x2="47813" y2="32875"/>
                      <a14:foregroundMark x1="57000" y1="24125" x2="57000" y2="24125"/>
                      <a14:foregroundMark x1="48625" y1="27125" x2="48625" y2="27125"/>
                      <a14:foregroundMark x1="10233" y1="59857" x2="10233" y2="59857"/>
                      <a14:foregroundMark x1="9156" y1="63799" x2="9156" y2="63799"/>
                      <a14:foregroundMark x1="5925" y1="76703" x2="5925" y2="76703"/>
                      <a14:foregroundMark x1="31598" y1="25090" x2="31598" y2="25090"/>
                      <a14:foregroundMark x1="16517" y1="17921" x2="16517" y2="17921"/>
                      <a14:backgroundMark x1="8813" y1="24125" x2="8813" y2="24125"/>
                      <a14:backgroundMark x1="22750" y1="42875" x2="22750" y2="42875"/>
                      <a14:backgroundMark x1="43625" y1="20250" x2="43625" y2="20250"/>
                      <a14:backgroundMark x1="53688" y1="34500" x2="53688" y2="34500"/>
                      <a14:backgroundMark x1="48625" y1="27750" x2="48625" y2="27750"/>
                    </a14:backgroundRemoval>
                  </a14:imgEffect>
                  <a14:imgEffect>
                    <a14:artisticCutout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4084" t="5106" r="10233" b="10949"/>
        <a:stretch/>
      </xdr:blipFill>
      <xdr:spPr>
        <a:xfrm>
          <a:off x="742455" y="3472585"/>
          <a:ext cx="1963687" cy="5679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RFC%20SAS%202026\COTIZACIONES%202026\COT-105-2026%20%20r.nu&#241;ez%20adecuacion%20punto%20de%20control%20odc%20caucasia.xlsx" TargetMode="External"/><Relationship Id="rId1" Type="http://schemas.openxmlformats.org/officeDocument/2006/relationships/externalLinkPath" Target="COT-105-2026%20%20r.nu&#241;ez%20adecuacion%20punto%20de%20control%20odc%20caucas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ACTUALIZADO"/>
      <sheetName val="compuerta punto de control"/>
      <sheetName val="T.SALARIAL 2"/>
      <sheetName val="dotacion"/>
      <sheetName val="herramientas mat transp y mano"/>
    </sheetNames>
    <sheetDataSet>
      <sheetData sheetId="0"/>
      <sheetData sheetId="1"/>
      <sheetData sheetId="2"/>
      <sheetData sheetId="3"/>
      <sheetData sheetId="4">
        <row r="2">
          <cell r="A2" t="str">
            <v>Acarreo por km</v>
          </cell>
          <cell r="E2" t="str">
            <v>Abono organico x M2</v>
          </cell>
          <cell r="I2" t="str">
            <v>Acarreo por km</v>
          </cell>
          <cell r="M2" t="str">
            <v>ALBAÑIL</v>
          </cell>
        </row>
        <row r="3">
          <cell r="A3" t="str">
            <v>Aguja Capotera</v>
          </cell>
          <cell r="E3" t="str">
            <v>Aceite 15w40</v>
          </cell>
          <cell r="I3" t="str">
            <v>Buseta</v>
          </cell>
          <cell r="M3" t="str">
            <v>ALINEADOR DE TUBERÍAS</v>
          </cell>
        </row>
        <row r="4">
          <cell r="A4" t="str">
            <v>Alicate diablo</v>
          </cell>
          <cell r="E4" t="str">
            <v>Aceite 4t gal</v>
          </cell>
          <cell r="I4" t="str">
            <v>Buseta Acpm</v>
          </cell>
          <cell r="M4" t="str">
            <v>AMBIENTAL</v>
          </cell>
        </row>
        <row r="5">
          <cell r="A5" t="str">
            <v>Alicate machosolo</v>
          </cell>
          <cell r="E5" t="str">
            <v>Aceite lubricante</v>
          </cell>
          <cell r="I5" t="str">
            <v>cama baja</v>
          </cell>
          <cell r="M5" t="str">
            <v>ANALISTA DE GESTIÓN DE MANTENIMIENTO</v>
          </cell>
        </row>
        <row r="6">
          <cell r="A6" t="str">
            <v>Alicate universal</v>
          </cell>
          <cell r="E6" t="str">
            <v>Acero 60000 psi kg</v>
          </cell>
          <cell r="I6" t="str">
            <v>camion cinterna</v>
          </cell>
          <cell r="M6" t="str">
            <v>ANDAMIERO</v>
          </cell>
        </row>
        <row r="7">
          <cell r="A7" t="str">
            <v>Almadana 3" Bronce</v>
          </cell>
          <cell r="E7" t="str">
            <v>Acero de refuerzo G-60 figurado</v>
          </cell>
          <cell r="I7" t="str">
            <v>Camión doble cabina</v>
          </cell>
          <cell r="M7" t="str">
            <v>ANDAMIERO 1</v>
          </cell>
        </row>
        <row r="8">
          <cell r="A8" t="str">
            <v>Almadana 6" Bronce</v>
          </cell>
          <cell r="E8" t="str">
            <v>Acpm Galon</v>
          </cell>
          <cell r="I8" t="str">
            <v xml:space="preserve">Camion Grua </v>
          </cell>
          <cell r="M8" t="str">
            <v>ANDAMIERO 1A</v>
          </cell>
        </row>
        <row r="9">
          <cell r="A9" t="str">
            <v>Almadana en bronce</v>
          </cell>
          <cell r="E9" t="str">
            <v>Adoquín de concreto o arcilla</v>
          </cell>
          <cell r="I9" t="str">
            <v xml:space="preserve">Camion Sisterna </v>
          </cell>
          <cell r="M9" t="str">
            <v>APAREJADOR</v>
          </cell>
        </row>
        <row r="10">
          <cell r="A10" t="str">
            <v>almadana x6 lb</v>
          </cell>
          <cell r="E10" t="str">
            <v>Adoquín tipo corbatin</v>
          </cell>
          <cell r="I10" t="str">
            <v>Concretadora Bulto y Medio Acpm</v>
          </cell>
          <cell r="M10" t="str">
            <v>APAREJADOR DE GRÚA / APAREJADOR DE CARGAS / APAREJADOR DE EQUIPOS DE IZAJE*</v>
          </cell>
        </row>
        <row r="11">
          <cell r="A11" t="str">
            <v>Andamios Layher</v>
          </cell>
          <cell r="E11" t="str">
            <v>Adoquin tolete</v>
          </cell>
          <cell r="I11" t="str">
            <v>mini cargador</v>
          </cell>
          <cell r="M11" t="str">
            <v>AUXILIAR ADMINISTRATIVO</v>
          </cell>
        </row>
        <row r="12">
          <cell r="A12" t="str">
            <v>Arnés de seguridad y Erlingas</v>
          </cell>
          <cell r="E12" t="str">
            <v>Agua m3</v>
          </cell>
          <cell r="I12" t="str">
            <v>minicargador</v>
          </cell>
          <cell r="M12" t="str">
            <v>AUXILIAR AMBIENTAL</v>
          </cell>
        </row>
        <row r="13">
          <cell r="A13" t="str">
            <v>aspiradora industrial</v>
          </cell>
          <cell r="E13" t="str">
            <v>Alambre Galvanizado 14 - kilo</v>
          </cell>
          <cell r="I13" t="str">
            <v>moto nieveladora</v>
          </cell>
          <cell r="M13" t="str">
            <v>AUXILIAR CIVIL</v>
          </cell>
        </row>
        <row r="14">
          <cell r="A14" t="str">
            <v>Avisos de seguridad</v>
          </cell>
          <cell r="E14" t="str">
            <v>Alambre HG calibre 14</v>
          </cell>
          <cell r="I14" t="str">
            <v>Moto niveladora</v>
          </cell>
          <cell r="M14" t="str">
            <v>AUXILIAR DE ASEO Y CAFETERIA</v>
          </cell>
        </row>
        <row r="15">
          <cell r="A15" t="str">
            <v>Azadon</v>
          </cell>
          <cell r="E15" t="str">
            <v>Alambre negro para amarre</v>
          </cell>
          <cell r="I15" t="str">
            <v>pavimentadora</v>
          </cell>
          <cell r="M15" t="str">
            <v>AUXILIAR DE ENFERMERÍA</v>
          </cell>
        </row>
        <row r="16">
          <cell r="A16" t="str">
            <v>Balde concretero</v>
          </cell>
          <cell r="E16" t="str">
            <v>Arena fina seca para sello de juntas</v>
          </cell>
          <cell r="I16" t="str">
            <v>retro excavadora de llanta</v>
          </cell>
          <cell r="M16" t="str">
            <v>AUXILIAR DE INVENTARIOS</v>
          </cell>
        </row>
        <row r="17">
          <cell r="A17" t="str">
            <v>Baldes Asfalto</v>
          </cell>
          <cell r="E17" t="str">
            <v>Arena para cama/capa de soporte</v>
          </cell>
          <cell r="I17" t="str">
            <v>Retroexcavadora con llantas</v>
          </cell>
          <cell r="M17" t="str">
            <v>AUXILIAR DE MATERIALES</v>
          </cell>
        </row>
        <row r="18">
          <cell r="A18" t="str">
            <v>Banco figuracion</v>
          </cell>
          <cell r="E18" t="str">
            <v>Aspersores</v>
          </cell>
          <cell r="I18" t="str">
            <v>Retroexcavadora de llantas</v>
          </cell>
          <cell r="M18" t="str">
            <v>AYUDANTE CADENERO</v>
          </cell>
        </row>
        <row r="19">
          <cell r="A19" t="str">
            <v>Barra</v>
          </cell>
          <cell r="E19" t="str">
            <v>Avisos de seguridad</v>
          </cell>
          <cell r="I19" t="str">
            <v>Retroexcavadora de oruga</v>
          </cell>
          <cell r="M19" t="str">
            <v>AYUDANTE DE BODEGA O BODEGUERO</v>
          </cell>
        </row>
        <row r="20">
          <cell r="A20" t="str">
            <v>bichiroque</v>
          </cell>
          <cell r="E20" t="str">
            <v>base asfáltica o base negra m3</v>
          </cell>
          <cell r="I20" t="str">
            <v>Transporte de equipo oruga</v>
          </cell>
          <cell r="M20" t="str">
            <v>AYUDANTE DE OBRA CIVIL</v>
          </cell>
        </row>
        <row r="21">
          <cell r="A21" t="str">
            <v>Bomba para concreto m3</v>
          </cell>
          <cell r="E21" t="str">
            <v>Base Granular m3</v>
          </cell>
          <cell r="I21" t="str">
            <v>traslado de equipos</v>
          </cell>
          <cell r="M21" t="str">
            <v>AYUDANTE DE PINTURA</v>
          </cell>
        </row>
        <row r="22">
          <cell r="A22" t="str">
            <v>Bomba para fumigar</v>
          </cell>
          <cell r="E22" t="str">
            <v>bisturi</v>
          </cell>
          <cell r="I22" t="str">
            <v>trasporte de equipo</v>
          </cell>
          <cell r="M22" t="str">
            <v>AYUDANTE ELECTRICISTA</v>
          </cell>
        </row>
        <row r="23">
          <cell r="A23" t="str">
            <v>Bomba Wildem</v>
          </cell>
          <cell r="E23" t="str">
            <v>Bolsa para Basura</v>
          </cell>
          <cell r="I23" t="str">
            <v>trasporte de equipos</v>
          </cell>
          <cell r="M23" t="str">
            <v>AYUDANTE ELECTRICO</v>
          </cell>
        </row>
        <row r="24">
          <cell r="A24" t="str">
            <v>Botiquin primeros auxilios</v>
          </cell>
          <cell r="E24" t="str">
            <v>Bordillo/sardinel/confinamiento</v>
          </cell>
          <cell r="I24" t="str">
            <v>Vibro compactador grande</v>
          </cell>
          <cell r="M24" t="str">
            <v>AYUDANTE INSTRUMENTACIÓN</v>
          </cell>
        </row>
        <row r="25">
          <cell r="A25" t="str">
            <v>Buldron</v>
          </cell>
          <cell r="E25" t="str">
            <v>Broca Rotomartillo 1 1/4 x 12"</v>
          </cell>
          <cell r="I25" t="str">
            <v>volqueta 14 M3</v>
          </cell>
          <cell r="M25" t="str">
            <v>AYUDANTE MECANICO</v>
          </cell>
        </row>
        <row r="26">
          <cell r="A26" t="str">
            <v>Burro Metalico Hechizo Diferencial</v>
          </cell>
          <cell r="E26" t="str">
            <v>Broca tipo pala</v>
          </cell>
          <cell r="I26" t="str">
            <v>Volqueta de 14 m³</v>
          </cell>
          <cell r="M26" t="str">
            <v>AYUDANTE MECÁNICO</v>
          </cell>
        </row>
        <row r="27">
          <cell r="A27" t="str">
            <v>Burro Metalico Hechizo Tubería</v>
          </cell>
          <cell r="E27" t="str">
            <v>Broca tipo punta</v>
          </cell>
          <cell r="M27" t="str">
            <v>AYUDANTE MECÁNICO OFF SHORE</v>
          </cell>
        </row>
        <row r="28">
          <cell r="A28" t="str">
            <v>Buseta acpm</v>
          </cell>
          <cell r="E28" t="str">
            <v>brocha 3"</v>
          </cell>
          <cell r="M28" t="str">
            <v>AYUDANTE MTTO VEHICULOS</v>
          </cell>
        </row>
        <row r="29">
          <cell r="A29" t="str">
            <v>Cabo para pala</v>
          </cell>
          <cell r="E29" t="str">
            <v>Cal</v>
          </cell>
          <cell r="M29" t="str">
            <v>AYUDANTE PAILERÍA</v>
          </cell>
        </row>
        <row r="30">
          <cell r="A30" t="str">
            <v>Caja De Herramientas</v>
          </cell>
          <cell r="E30" t="str">
            <v>careta de esmerilar para casco</v>
          </cell>
          <cell r="M30" t="str">
            <v>AYUDANTE SOLDADURA</v>
          </cell>
        </row>
        <row r="31">
          <cell r="A31" t="str">
            <v>Camilla primeros auxilios</v>
          </cell>
          <cell r="E31" t="str">
            <v>Carpa plastica 4x4</v>
          </cell>
          <cell r="M31" t="str">
            <v>AYUDANTE SOLDADURA*</v>
          </cell>
        </row>
        <row r="32">
          <cell r="A32" t="str">
            <v>Camión doble cabina</v>
          </cell>
          <cell r="E32" t="str">
            <v>Carpa plastica 6x4</v>
          </cell>
          <cell r="M32" t="str">
            <v>AYUDANTE TUBERÍA</v>
          </cell>
        </row>
        <row r="33">
          <cell r="A33" t="str">
            <v>Carpa plastica 10x6</v>
          </cell>
          <cell r="E33" t="str">
            <v>Carpa plastica 6x6</v>
          </cell>
          <cell r="M33" t="str">
            <v>BUZO SEGUNDA</v>
          </cell>
        </row>
        <row r="34">
          <cell r="A34" t="str">
            <v>Carpa plastica 4x4</v>
          </cell>
          <cell r="E34" t="str">
            <v>Cemento 50 kl</v>
          </cell>
          <cell r="M34" t="str">
            <v>CADENERO 1</v>
          </cell>
        </row>
        <row r="35">
          <cell r="A35" t="str">
            <v>Carpa plastica 6x4</v>
          </cell>
          <cell r="E35" t="str">
            <v>Cespedon x M2</v>
          </cell>
          <cell r="M35" t="str">
            <v>CAMARERA</v>
          </cell>
        </row>
        <row r="36">
          <cell r="A36" t="str">
            <v>Carpa plastica 6x6</v>
          </cell>
          <cell r="E36" t="str">
            <v>Cespedon x M2</v>
          </cell>
          <cell r="M36" t="str">
            <v>CAMARERO</v>
          </cell>
        </row>
        <row r="37">
          <cell r="A37" t="str">
            <v>Carretilla</v>
          </cell>
          <cell r="E37" t="str">
            <v>cinta de enmascarar 2" rollo</v>
          </cell>
          <cell r="M37" t="str">
            <v>CAPATAZ</v>
          </cell>
        </row>
        <row r="38">
          <cell r="A38" t="str">
            <v>cepillo de alambre bronce</v>
          </cell>
          <cell r="E38" t="str">
            <v>Cinta de seguridad amarilla/negra x 500</v>
          </cell>
          <cell r="M38" t="str">
            <v>CAPATAZ DE ZONAS VERDES Y ROCERIA*</v>
          </cell>
        </row>
        <row r="39">
          <cell r="A39" t="str">
            <v>Chaleco reflectivo</v>
          </cell>
          <cell r="E39" t="str">
            <v>Clavo de acero de 3"</v>
          </cell>
          <cell r="M39" t="str">
            <v>CONDUCTOR</v>
          </cell>
        </row>
        <row r="40">
          <cell r="A40" t="str">
            <v>cincel 3/4 x 12"</v>
          </cell>
          <cell r="E40" t="str">
            <v>Concreto 2500 psi para solado/atraque</v>
          </cell>
          <cell r="M40" t="str">
            <v>CONDUCTOR DE VEHÍCULO LIVIANO Y/O PASAJEROS</v>
          </cell>
        </row>
        <row r="41">
          <cell r="A41" t="str">
            <v>Codal Aluminio 3 m</v>
          </cell>
          <cell r="E41" t="str">
            <v>Concreto 3000 psi para estructuras/cabezales/aletas</v>
          </cell>
          <cell r="M41" t="str">
            <v>CONDUCTOR VEHÍCULO PESADO PROPIO DE LA INDUSTRIA DE MÁS DE 3 TON</v>
          </cell>
        </row>
        <row r="42">
          <cell r="A42" t="str">
            <v>Codo sanitaria 6" Reutilizar</v>
          </cell>
          <cell r="E42" t="str">
            <v>Concreto 4000 psi para estructuras/cabezales/aletas</v>
          </cell>
          <cell r="M42" t="str">
            <v>CONECTOR OFF SHORE</v>
          </cell>
        </row>
        <row r="43">
          <cell r="A43" t="str">
            <v>Colombianas de seguridad</v>
          </cell>
          <cell r="E43" t="str">
            <v>Concreto con Camion Mixer m3</v>
          </cell>
          <cell r="M43" t="str">
            <v>CONTRAMAESTRE AB EMBARCACIÓN</v>
          </cell>
        </row>
        <row r="44">
          <cell r="A44" t="str">
            <v>Colombina</v>
          </cell>
          <cell r="E44" t="str">
            <v>Confinamiento externo</v>
          </cell>
          <cell r="M44" t="str">
            <v>DOBLADOR</v>
          </cell>
        </row>
        <row r="45">
          <cell r="A45" t="str">
            <v>comprensor de aire</v>
          </cell>
          <cell r="E45" t="str">
            <v>Corrector</v>
          </cell>
          <cell r="M45" t="str">
            <v>DOCUMENTADOR</v>
          </cell>
        </row>
        <row r="46">
          <cell r="A46" t="str">
            <v>Compresor de aire</v>
          </cell>
          <cell r="E46" t="str">
            <v>Cras</v>
          </cell>
          <cell r="M46" t="str">
            <v>ELECTRICISTA 1</v>
          </cell>
        </row>
        <row r="47">
          <cell r="A47" t="str">
            <v>Concretadora</v>
          </cell>
          <cell r="E47" t="str">
            <v>Disco de corte 7" para metarl 1 1/16"</v>
          </cell>
          <cell r="M47" t="str">
            <v>ELECTRICISTA 1A</v>
          </cell>
        </row>
        <row r="48">
          <cell r="A48" t="str">
            <v>Cono de seguridad</v>
          </cell>
          <cell r="E48" t="str">
            <v>Disco de corte para metal  4,5"  1/64</v>
          </cell>
          <cell r="M48" t="str">
            <v>ELECTROMECÁNICO</v>
          </cell>
        </row>
        <row r="49">
          <cell r="A49" t="str">
            <v>Cortatubo de 1/2 a 2"</v>
          </cell>
          <cell r="E49" t="str">
            <v>Disco Flat 4,5</v>
          </cell>
          <cell r="M49" t="str">
            <v>ENFERMERA PROFESIONAL</v>
          </cell>
        </row>
        <row r="50">
          <cell r="A50" t="str">
            <v>Cortatubo de 2 a 4"</v>
          </cell>
          <cell r="E50" t="str">
            <v>Disco para pulir Metal 4,5" 1 1/4"</v>
          </cell>
          <cell r="M50" t="str">
            <v>ESMERILADOR</v>
          </cell>
        </row>
        <row r="51">
          <cell r="A51" t="str">
            <v>Cortatubo de 4 a 6"</v>
          </cell>
          <cell r="E51" t="str">
            <v>Disco para pulir Metal 7"</v>
          </cell>
          <cell r="M51" t="str">
            <v>GUADAÑADOR*</v>
          </cell>
        </row>
        <row r="52">
          <cell r="A52" t="str">
            <v>Cúter industrial</v>
          </cell>
          <cell r="E52" t="str">
            <v>discos de corte de 7" / discos diamantados o abrasivos</v>
          </cell>
          <cell r="M52" t="str">
            <v>HSE</v>
          </cell>
        </row>
        <row r="53">
          <cell r="A53" t="str">
            <v>detector de gas</v>
          </cell>
          <cell r="E53" t="str">
            <v>Emulsión asfáltica para imprimación galon</v>
          </cell>
          <cell r="M53" t="str">
            <v>INSPECTOR HSE</v>
          </cell>
        </row>
        <row r="54">
          <cell r="A54" t="str">
            <v>Detector de tubería</v>
          </cell>
          <cell r="E54" t="str">
            <v>Emulsión para riego de liga galon</v>
          </cell>
          <cell r="M54" t="str">
            <v>INSTRUMENTISTA</v>
          </cell>
        </row>
        <row r="55">
          <cell r="A55" t="str">
            <v>Diferencial 2 ton</v>
          </cell>
          <cell r="E55" t="str">
            <v>Entibado metalico 2x4x4</v>
          </cell>
          <cell r="M55" t="str">
            <v>INSTRUMENTISTA 1</v>
          </cell>
        </row>
        <row r="56">
          <cell r="A56" t="str">
            <v>Dique almacenamiento de combustibles</v>
          </cell>
          <cell r="E56" t="str">
            <v>espatula 3"</v>
          </cell>
          <cell r="M56" t="str">
            <v>INSTRUMENTISTA 1A</v>
          </cell>
        </row>
        <row r="57">
          <cell r="A57" t="str">
            <v>Dique en lamina para equipos</v>
          </cell>
          <cell r="E57" t="str">
            <v>Estibado metalico 4x4x2</v>
          </cell>
          <cell r="M57" t="str">
            <v>JARDINERO</v>
          </cell>
        </row>
        <row r="58">
          <cell r="A58" t="str">
            <v>Dique para Metalico</v>
          </cell>
          <cell r="E58" t="str">
            <v>Excavaciones menor a 1,2 m</v>
          </cell>
          <cell r="M58" t="str">
            <v>LABORATORISTA</v>
          </cell>
        </row>
        <row r="59">
          <cell r="A59" t="str">
            <v>Dique residuos contaminantes</v>
          </cell>
          <cell r="E59" t="str">
            <v>Filtro para motor T85</v>
          </cell>
          <cell r="M59" t="str">
            <v>MAESTRO DE OBRA CIVIL*</v>
          </cell>
        </row>
        <row r="60">
          <cell r="A60" t="str">
            <v xml:space="preserve">Dobladora Manual </v>
          </cell>
          <cell r="E60" t="str">
            <v xml:space="preserve">Geodren planar </v>
          </cell>
          <cell r="M60" t="str">
            <v>MARINERO AB DE EMBARCACIÓN</v>
          </cell>
        </row>
        <row r="61">
          <cell r="A61" t="str">
            <v>Electrosoldador</v>
          </cell>
          <cell r="E61" t="str">
            <v>Geomembra m2</v>
          </cell>
          <cell r="M61" t="str">
            <v>MARINERO AJUSTADOR DE BRIDAS</v>
          </cell>
        </row>
        <row r="62">
          <cell r="A62" t="str">
            <v>Entibado metalico 4x4x2</v>
          </cell>
          <cell r="E62" t="str">
            <v>Geotextil m2</v>
          </cell>
          <cell r="M62" t="str">
            <v>MARINERO COCINERO EMBARCACIÓN MAYOR</v>
          </cell>
        </row>
        <row r="63">
          <cell r="A63" t="str">
            <v>Equipo de topografía</v>
          </cell>
          <cell r="E63" t="str">
            <v>Grapa</v>
          </cell>
          <cell r="M63" t="str">
            <v>MARINERO COSTANERO DE CUBIERTA</v>
          </cell>
        </row>
        <row r="64">
          <cell r="A64" t="str">
            <v>Equipo topografico</v>
          </cell>
          <cell r="E64" t="str">
            <v>Grata metalica de 1/4" 7"</v>
          </cell>
          <cell r="M64" t="str">
            <v>MARINERO DE CUBIERTA</v>
          </cell>
        </row>
        <row r="65">
          <cell r="A65" t="str">
            <v>Equipos Oxicorte</v>
          </cell>
          <cell r="E65" t="str">
            <v>Grata metalica de 1/8" 7"</v>
          </cell>
          <cell r="M65" t="str">
            <v>MARINERO DE MÁQUINAS</v>
          </cell>
        </row>
        <row r="66">
          <cell r="A66" t="str">
            <v>Escalera Electrica Dieletica</v>
          </cell>
          <cell r="E66" t="str">
            <v>Gravilla triturada Clasificada TM 3/4</v>
          </cell>
          <cell r="M66" t="str">
            <v>MARINERO OPERADOR</v>
          </cell>
        </row>
        <row r="67">
          <cell r="A67" t="str">
            <v xml:space="preserve">Escalera tipo tijera </v>
          </cell>
          <cell r="E67" t="str">
            <v>guantes antivibración</v>
          </cell>
          <cell r="M67" t="str">
            <v>MARINERO TIMONEL</v>
          </cell>
        </row>
        <row r="68">
          <cell r="A68" t="str">
            <v>Escoba de cerdas duras</v>
          </cell>
          <cell r="E68" t="str">
            <v>guantes de nitrilo largo</v>
          </cell>
          <cell r="M68" t="str">
            <v>MECÁNICO 1</v>
          </cell>
        </row>
        <row r="69">
          <cell r="A69" t="str">
            <v>Escoba de varita</v>
          </cell>
          <cell r="E69" t="str">
            <v>guantes quirulgico</v>
          </cell>
          <cell r="M69" t="str">
            <v>MECÁNICO 1A</v>
          </cell>
        </row>
        <row r="70">
          <cell r="A70" t="str">
            <v>Escuadra metalica 24"</v>
          </cell>
          <cell r="E70" t="str">
            <v>Hoga</v>
          </cell>
          <cell r="M70" t="str">
            <v>MECÁNICO OFF SHORE</v>
          </cell>
        </row>
        <row r="71">
          <cell r="A71" t="str">
            <v>Eslinga de 3x3 sintetica</v>
          </cell>
          <cell r="E71" t="str">
            <v xml:space="preserve">Hoja Segueta </v>
          </cell>
          <cell r="M71" t="str">
            <v>MENSAJERO*</v>
          </cell>
        </row>
        <row r="72">
          <cell r="A72" t="str">
            <v>Eslinga de 3x6 sintetica</v>
          </cell>
          <cell r="E72" t="str">
            <v xml:space="preserve">Ladrillo Tolete </v>
          </cell>
          <cell r="M72" t="str">
            <v>MESERO</v>
          </cell>
        </row>
        <row r="73">
          <cell r="A73" t="str">
            <v>Eslingas/aparejos certificados</v>
          </cell>
          <cell r="E73" t="str">
            <v>Lapicero negro</v>
          </cell>
          <cell r="M73" t="str">
            <v>MONTADOR 1</v>
          </cell>
        </row>
        <row r="74">
          <cell r="A74" t="str">
            <v>Eslingas/aparejos certificados 3" x 4"</v>
          </cell>
          <cell r="E74" t="str">
            <v>Lapiz Rojo</v>
          </cell>
          <cell r="M74" t="str">
            <v>MONTADOR 1A</v>
          </cell>
        </row>
        <row r="75">
          <cell r="A75" t="str">
            <v>Estibas plasticas</v>
          </cell>
          <cell r="E75" t="str">
            <v>Lija Industrial</v>
          </cell>
          <cell r="M75" t="str">
            <v>OBRERO</v>
          </cell>
        </row>
        <row r="76">
          <cell r="A76" t="str">
            <v>Extencion electrica 100mts</v>
          </cell>
          <cell r="E76" t="str">
            <v>Limpiador PVC</v>
          </cell>
          <cell r="M76" t="str">
            <v>OBRERO</v>
          </cell>
        </row>
        <row r="77">
          <cell r="A77" t="str">
            <v>Extintor Co2</v>
          </cell>
          <cell r="E77" t="str">
            <v>Listón de madera 2 x 1 x 3</v>
          </cell>
          <cell r="M77" t="str">
            <v>OBRERO APICULTOR Y FUMIGADOR*</v>
          </cell>
        </row>
        <row r="78">
          <cell r="A78" t="str">
            <v>Extractor de aire</v>
          </cell>
          <cell r="E78" t="str">
            <v>Listón de madera 2 x 4 x 3</v>
          </cell>
          <cell r="M78" t="str">
            <v>OBRERO CON EXPERIENCIA</v>
          </cell>
        </row>
        <row r="79">
          <cell r="A79" t="str">
            <v>Flexómetro</v>
          </cell>
          <cell r="E79" t="str">
            <v>Liston de pala</v>
          </cell>
          <cell r="M79" t="str">
            <v>OBRERO DESCONTAMINACION</v>
          </cell>
        </row>
        <row r="80">
          <cell r="A80" t="str">
            <v>Gato Hidraulico</v>
          </cell>
          <cell r="E80" t="str">
            <v>Liston de pica</v>
          </cell>
          <cell r="M80" t="str">
            <v>OFICIAL CONSTRUCCION</v>
          </cell>
        </row>
        <row r="81">
          <cell r="A81" t="str">
            <v>Gps</v>
          </cell>
          <cell r="E81" t="str">
            <v>malla de gaviones 2x1x1</v>
          </cell>
          <cell r="M81" t="str">
            <v>OFICIAL DE CONSTRUCCION</v>
          </cell>
        </row>
        <row r="82">
          <cell r="A82" t="str">
            <v>Grapa Hechiza 2"</v>
          </cell>
          <cell r="E82" t="str">
            <v>Malla eslabonada vena 7</v>
          </cell>
          <cell r="M82" t="str">
            <v>OFICIAL DE MÁQUINAS HASTA 3000 KW</v>
          </cell>
        </row>
        <row r="83">
          <cell r="A83" t="str">
            <v>Grapa Hechiza 3"</v>
          </cell>
          <cell r="E83" t="str">
            <v>Manguera mt</v>
          </cell>
          <cell r="M83" t="str">
            <v>OFICIAL DE OBRA CIVIL*</v>
          </cell>
        </row>
        <row r="84">
          <cell r="A84" t="str">
            <v>Grapa Hechiza 4"</v>
          </cell>
          <cell r="E84" t="str">
            <v>Manguera para jardin</v>
          </cell>
          <cell r="M84" t="str">
            <v>OFICIAL DE PUENTE</v>
          </cell>
        </row>
        <row r="85">
          <cell r="A85" t="str">
            <v>Grapa Hechiza 6"</v>
          </cell>
          <cell r="E85" t="str">
            <v>Manila 1/2"</v>
          </cell>
          <cell r="M85" t="str">
            <v>OFICIAL I</v>
          </cell>
        </row>
        <row r="86">
          <cell r="A86" t="str">
            <v xml:space="preserve">Grillete 7/8 </v>
          </cell>
          <cell r="E86" t="str">
            <v>Manila 5/16</v>
          </cell>
          <cell r="M86" t="str">
            <v>OFICIAL PUENTE HASTA 3000 TRB</v>
          </cell>
        </row>
        <row r="87">
          <cell r="A87" t="str">
            <v>Guadañadora 280</v>
          </cell>
          <cell r="E87" t="str">
            <v>Material para afirmado de cantera m3</v>
          </cell>
          <cell r="M87" t="str">
            <v>OFICIAL PUENTE REGIONAL HASTA 2800 TRB</v>
          </cell>
        </row>
        <row r="88">
          <cell r="A88" t="str">
            <v>Herramientero</v>
          </cell>
          <cell r="E88" t="str">
            <v>Material seleccionado para relleno</v>
          </cell>
          <cell r="M88" t="str">
            <v>OFICIALISTA 1</v>
          </cell>
        </row>
        <row r="89">
          <cell r="A89" t="str">
            <v xml:space="preserve">Hidrolavadora Diesel </v>
          </cell>
          <cell r="E89" t="str">
            <v>Mezcla asfáltica compactada toneladas m3</v>
          </cell>
          <cell r="M89" t="str">
            <v>OFICIALISTA 2</v>
          </cell>
        </row>
        <row r="90">
          <cell r="A90" t="str">
            <v xml:space="preserve">Hidrolavadora Electrica </v>
          </cell>
          <cell r="E90" t="str">
            <v>Nailon/hilo de alineación</v>
          </cell>
          <cell r="M90" t="str">
            <v>OPERADOR CAMIÓN DE VACÍO</v>
          </cell>
        </row>
        <row r="91">
          <cell r="A91" t="str">
            <v>Hoyadora</v>
          </cell>
          <cell r="E91" t="str">
            <v>Pegante/soldadura PVC</v>
          </cell>
          <cell r="M91" t="str">
            <v>OPERADOR CAMIÓN GRÚA</v>
          </cell>
        </row>
        <row r="92">
          <cell r="A92" t="str">
            <v>Juego copas 1/2 a 1 1/2"</v>
          </cell>
          <cell r="E92" t="str">
            <v>Piedra Filtro 3" maximo tamaño</v>
          </cell>
          <cell r="M92" t="str">
            <v>OPERADOR CARGADOR</v>
          </cell>
        </row>
        <row r="93">
          <cell r="A93" t="str">
            <v>Juego de llaves Mixta  1/2 a 1 1/2"</v>
          </cell>
          <cell r="E93" t="str">
            <v>Piedra triturado 3/4 a 1 m3</v>
          </cell>
          <cell r="M93" t="str">
            <v>OPERADOR CARROMACHO</v>
          </cell>
        </row>
        <row r="94">
          <cell r="A94" t="str">
            <v>Juego de taladro para atornillar</v>
          </cell>
          <cell r="E94" t="str">
            <v>Pintura en aerosol</v>
          </cell>
          <cell r="M94" t="str">
            <v>OPERADOR DE EQUIPO DE PERFORACIÓN CON MANEJO DE EXPLOSIVOS</v>
          </cell>
        </row>
        <row r="95">
          <cell r="A95" t="str">
            <v>Juego de tarraja de 1/2 a 2"</v>
          </cell>
          <cell r="E95" t="str">
            <v>Plastico negro</v>
          </cell>
          <cell r="M95" t="str">
            <v>OPERADOR DE EQUIPO PRUEBAS HIDROSTÁTICAS</v>
          </cell>
        </row>
        <row r="96">
          <cell r="A96" t="str">
            <v>Kit Rescate en altura</v>
          </cell>
          <cell r="E96" t="str">
            <v>Plástico negro</v>
          </cell>
          <cell r="M96" t="str">
            <v>OPERADOR DE GRÚA HASTA 90 TON</v>
          </cell>
        </row>
        <row r="97">
          <cell r="A97" t="str">
            <v>Lave expansiva 24"</v>
          </cell>
          <cell r="E97" t="str">
            <v>Polisombra 100m</v>
          </cell>
          <cell r="M97" t="str">
            <v>OPERADOR DE GRÚA MAYOR A 80 TON</v>
          </cell>
        </row>
        <row r="98">
          <cell r="A98" t="str">
            <v>Lima triangular</v>
          </cell>
          <cell r="E98" t="str">
            <v xml:space="preserve">Prueba de Concreto </v>
          </cell>
          <cell r="M98" t="str">
            <v>OPERADOR DE HERRAMIENTAS DE TORQUE</v>
          </cell>
        </row>
        <row r="99">
          <cell r="A99" t="str">
            <v>Línea de vida</v>
          </cell>
          <cell r="E99" t="str">
            <v>Puntilla de 2,5"</v>
          </cell>
          <cell r="M99" t="str">
            <v>OPERADOR DE MOTONIVELADORA</v>
          </cell>
        </row>
        <row r="100">
          <cell r="A100" t="str">
            <v>Llana metalica</v>
          </cell>
          <cell r="E100" t="str">
            <v>Puntilla de 3,5"</v>
          </cell>
          <cell r="M100" t="str">
            <v>OPERADOR DE RETROEXCAVADORA, BOBCAT, MAN LIFT, HERRAMIENTAS ESPECIALES, SIDEBOOM, CAMABAJA/ALTA</v>
          </cell>
        </row>
        <row r="101">
          <cell r="A101" t="str">
            <v>Llave de Impacto dia</v>
          </cell>
          <cell r="E101" t="str">
            <v>rodilleras</v>
          </cell>
          <cell r="M101" t="str">
            <v>OPERADOR EQUIPO PESADO 1</v>
          </cell>
        </row>
        <row r="102">
          <cell r="A102" t="str">
            <v>Llave Expansiva 14"</v>
          </cell>
          <cell r="E102" t="str">
            <v>Rollo Pita polipropileno</v>
          </cell>
          <cell r="M102" t="str">
            <v>OPERADOR EQUIPO PESADO 1A</v>
          </cell>
        </row>
        <row r="103">
          <cell r="A103" t="str">
            <v>Llave Expansiva de 18"</v>
          </cell>
          <cell r="E103" t="str">
            <v>Sacos de polipropileno</v>
          </cell>
          <cell r="M103" t="str">
            <v>OPERADOR GRÚA HASTA 40 TON</v>
          </cell>
        </row>
        <row r="104">
          <cell r="A104" t="str">
            <v>Llave expansiva de 48"</v>
          </cell>
          <cell r="E104" t="str">
            <v>Sellante para juntas SIKAfle 1a</v>
          </cell>
          <cell r="M104" t="str">
            <v>OPERADOR MONTACARGAS</v>
          </cell>
        </row>
        <row r="105">
          <cell r="A105" t="str">
            <v>Llave para tubo 14"</v>
          </cell>
          <cell r="E105" t="str">
            <v>Sika 1 impermeabilizante kl</v>
          </cell>
          <cell r="M105" t="str">
            <v>OPERADOR PLANTA DE CONCRETO</v>
          </cell>
        </row>
        <row r="106">
          <cell r="A106" t="str">
            <v>Llave para tubo 18"</v>
          </cell>
          <cell r="E106" t="str">
            <v>sika anchofix -4</v>
          </cell>
          <cell r="M106" t="str">
            <v>OPERADOR PLANTA ELÉCTRICA</v>
          </cell>
        </row>
        <row r="107">
          <cell r="A107" t="str">
            <v>Llave para tubo 24"</v>
          </cell>
          <cell r="E107" t="str">
            <v>sika antisol 20kl</v>
          </cell>
          <cell r="M107" t="str">
            <v>OPERADOR RETROLLANTAS</v>
          </cell>
        </row>
        <row r="108">
          <cell r="A108" t="str">
            <v>Llave para tubo 8"</v>
          </cell>
          <cell r="E108" t="str">
            <v>Sika Set L 2,5 kl</v>
          </cell>
          <cell r="M108" t="str">
            <v>OPERADOR VEHICULO PESADO</v>
          </cell>
        </row>
        <row r="109">
          <cell r="A109" t="str">
            <v>Llave para tubo Tipo Cremallera 36"</v>
          </cell>
          <cell r="E109" t="str">
            <v>sikarod juntas 3/8 ML</v>
          </cell>
          <cell r="M109" t="str">
            <v>PAILERO 1</v>
          </cell>
        </row>
        <row r="110">
          <cell r="A110" t="str">
            <v>Machete</v>
          </cell>
          <cell r="E110" t="str">
            <v>ska fle pavement  galon</v>
          </cell>
          <cell r="M110" t="str">
            <v>PAILERO 1A</v>
          </cell>
        </row>
        <row r="111">
          <cell r="A111" t="str">
            <v>Machete con funda</v>
          </cell>
          <cell r="E111" t="str">
            <v>Soldadura 6011 1/8"</v>
          </cell>
          <cell r="M111" t="str">
            <v>PINTOR</v>
          </cell>
        </row>
        <row r="112">
          <cell r="A112" t="str">
            <v>Mampara en aluminio</v>
          </cell>
          <cell r="E112" t="str">
            <v>Soldadura 6011 3/32"</v>
          </cell>
          <cell r="M112" t="str">
            <v>RECEPCIONISTA*</v>
          </cell>
        </row>
        <row r="113">
          <cell r="A113" t="str">
            <v>Marco Segueta</v>
          </cell>
          <cell r="E113" t="str">
            <v>Soldadura 7018 1/8"</v>
          </cell>
          <cell r="M113" t="str">
            <v>RESCATISTA DE ALTURAS</v>
          </cell>
        </row>
        <row r="114">
          <cell r="A114" t="str">
            <v>Martillo</v>
          </cell>
          <cell r="E114" t="str">
            <v>Soldadura 7018 3/32"</v>
          </cell>
          <cell r="M114" t="str">
            <v>RESCATISTA DE ALTURAS</v>
          </cell>
        </row>
        <row r="115">
          <cell r="A115" t="str">
            <v>Martillo demoledor neumático/eléctrico</v>
          </cell>
          <cell r="E115" t="str">
            <v>Subbase granular m3</v>
          </cell>
          <cell r="M115" t="str">
            <v>RETROCARGADOR</v>
          </cell>
        </row>
        <row r="116">
          <cell r="A116" t="str">
            <v>Mazo de caucho</v>
          </cell>
          <cell r="E116" t="str">
            <v>Suelo o arena para sacos con transporte</v>
          </cell>
          <cell r="M116" t="str">
            <v>SAND BLASTERO, SAND BLASTER O PINTOR</v>
          </cell>
        </row>
        <row r="117">
          <cell r="A117" t="str">
            <v>media caneca plastica 55 g</v>
          </cell>
          <cell r="E117" t="str">
            <v>Tabla</v>
          </cell>
          <cell r="M117" t="str">
            <v>SEÑALIZADOR VIAL*</v>
          </cell>
        </row>
        <row r="118">
          <cell r="A118" t="str">
            <v>Mesa de madera</v>
          </cell>
          <cell r="E118" t="str">
            <v>Tela verde de 2 metros</v>
          </cell>
          <cell r="M118" t="str">
            <v>SOCORRISTA, CONDUCTOR DE AMBULANCIA</v>
          </cell>
        </row>
        <row r="119">
          <cell r="A119" t="str">
            <v>Motobomba diesel</v>
          </cell>
          <cell r="E119" t="str">
            <v>Tierra Roja</v>
          </cell>
          <cell r="M119" t="str">
            <v>SOLDADOR 1</v>
          </cell>
        </row>
        <row r="120">
          <cell r="A120" t="str">
            <v>Motobomba diesel 4x4</v>
          </cell>
          <cell r="E120" t="str">
            <v>Tiza Industrial</v>
          </cell>
          <cell r="M120" t="str">
            <v>SOLDADOR 1A</v>
          </cell>
        </row>
        <row r="121">
          <cell r="A121" t="str">
            <v>Motosierra 240</v>
          </cell>
          <cell r="E121" t="str">
            <v>Tubería de concreto reforzado D=36" Clase III</v>
          </cell>
          <cell r="M121" t="str">
            <v>SOLDADOR ARGONERO</v>
          </cell>
        </row>
        <row r="122">
          <cell r="A122" t="str">
            <v>Motosierra 360</v>
          </cell>
          <cell r="E122" t="str">
            <v>Tuberia de Drenaje de 4" 10 m</v>
          </cell>
          <cell r="M122" t="str">
            <v>SOLDADOR*</v>
          </cell>
        </row>
        <row r="123">
          <cell r="A123" t="str">
            <v>Nivel 18"</v>
          </cell>
          <cell r="E123" t="str">
            <v>Tubo sanitario 6"</v>
          </cell>
          <cell r="M123" t="str">
            <v>TECNICO ELECTRICISTA*</v>
          </cell>
        </row>
        <row r="124">
          <cell r="A124" t="str">
            <v>Nivel de mano / nivel 18"</v>
          </cell>
          <cell r="E124" t="str">
            <v>Union Sanitaria 6"</v>
          </cell>
          <cell r="M124" t="str">
            <v>TECNICO GESTION DOCUMENTAL / AUXILIAR*</v>
          </cell>
        </row>
        <row r="125">
          <cell r="A125" t="str">
            <v>Nivel torpedo</v>
          </cell>
          <cell r="E125" t="str">
            <v>Uniones para tubería perforada de 4"</v>
          </cell>
          <cell r="M125" t="str">
            <v>TOPOGRAFO</v>
          </cell>
        </row>
        <row r="126">
          <cell r="A126" t="str">
            <v>Pala</v>
          </cell>
          <cell r="E126" t="str">
            <v>Varilla 1/4" kg</v>
          </cell>
          <cell r="M126" t="str">
            <v>TOPÓGRAFO QA/QC; CALIDAD Y CANTIDAD</v>
          </cell>
        </row>
        <row r="127">
          <cell r="A127" t="str">
            <v>Pala Madera</v>
          </cell>
          <cell r="E127" t="str">
            <v>Varilla 1/8" kg</v>
          </cell>
          <cell r="M127" t="str">
            <v>TUBERO 1</v>
          </cell>
        </row>
        <row r="128">
          <cell r="A128" t="str">
            <v>Paladraga</v>
          </cell>
          <cell r="E128" t="str">
            <v>Varilla 3/8" kg</v>
          </cell>
          <cell r="M128" t="str">
            <v>TUBERO 1A</v>
          </cell>
        </row>
        <row r="129">
          <cell r="A129" t="str">
            <v>Paletas</v>
          </cell>
          <cell r="E129" t="str">
            <v>varsol x galon</v>
          </cell>
          <cell r="M129" t="str">
            <v>VIBROCOMPACTADOR</v>
          </cell>
        </row>
        <row r="130">
          <cell r="A130" t="str">
            <v>Palín</v>
          </cell>
          <cell r="E130" t="str">
            <v>Vidrio Blanco Careta Soldadura</v>
          </cell>
          <cell r="M130" t="str">
            <v>VIGÍA HSE</v>
          </cell>
        </row>
        <row r="131">
          <cell r="A131" t="str">
            <v>Palustre / llana</v>
          </cell>
          <cell r="E131" t="str">
            <v>Vidrio Negro Careta Soldadura</v>
          </cell>
          <cell r="M131" t="str">
            <v>VIGILANTE</v>
          </cell>
        </row>
        <row r="132">
          <cell r="A132" t="str">
            <v>Pata Cabra</v>
          </cell>
          <cell r="E132" t="str">
            <v>Wiper De Limpieza Trapo Cosido</v>
          </cell>
          <cell r="M132" t="str">
            <v xml:space="preserve">coordinador de altura </v>
          </cell>
        </row>
        <row r="133">
          <cell r="A133" t="str">
            <v>Pica</v>
          </cell>
          <cell r="E133" t="str">
            <v>Yoyo para motobomba</v>
          </cell>
          <cell r="M133" t="str">
            <v>PINTOR SANBLASTRING</v>
          </cell>
        </row>
        <row r="134">
          <cell r="A134" t="str">
            <v>Pie rey 12"</v>
          </cell>
          <cell r="E134" t="str">
            <v>Abrasivo aprobado</v>
          </cell>
          <cell r="M134" t="str">
            <v>AYUDANTE TECNICO METALMECANICO</v>
          </cell>
        </row>
        <row r="135">
          <cell r="A135" t="str">
            <v>Pie rey 6"</v>
          </cell>
          <cell r="E135" t="str">
            <v>Recubrimiento TPT-STD-013</v>
          </cell>
          <cell r="M135" t="str">
            <v>OBRERO</v>
          </cell>
        </row>
        <row r="136">
          <cell r="A136" t="str">
            <v>Pisones manuales</v>
          </cell>
          <cell r="E136" t="str">
            <v>Catalizador/endurecedor</v>
          </cell>
          <cell r="M136" t="str">
            <v>SUPERVISOR QA/QC</v>
          </cell>
        </row>
        <row r="137">
          <cell r="A137" t="str">
            <v>pistola de calafateo</v>
          </cell>
          <cell r="E137" t="str">
            <v>Solvente/thinner compatible</v>
          </cell>
          <cell r="M137" t="str">
            <v>SUPERVISOR HSE</v>
          </cell>
        </row>
        <row r="138">
          <cell r="A138" t="str">
            <v>Pistola de Impacto dia</v>
          </cell>
          <cell r="E138" t="str">
            <v>Placas testigo 0,10 × 0,10 m</v>
          </cell>
        </row>
        <row r="139">
          <cell r="A139" t="str">
            <v>Pistola de Impacto dia</v>
          </cell>
          <cell r="E139" t="str">
            <v>Cinta enmascarar</v>
          </cell>
        </row>
        <row r="140">
          <cell r="A140" t="str">
            <v>Pizon manual</v>
          </cell>
          <cell r="E140" t="str">
            <v>Plástico/lona de protección</v>
          </cell>
        </row>
        <row r="141">
          <cell r="A141" t="str">
            <v>Placa vibratoria con protector de caucho/neopreno</v>
          </cell>
          <cell r="E141" t="str">
            <v>Trapos/estopa/filtros</v>
          </cell>
        </row>
        <row r="142">
          <cell r="A142" t="str">
            <v>Planta electrica 7,5 kwa</v>
          </cell>
          <cell r="E142" t="str">
            <v>madera redonda 3" x 2.5m</v>
          </cell>
        </row>
        <row r="143">
          <cell r="A143" t="str">
            <v>Platina de dilatacion</v>
          </cell>
          <cell r="E143" t="str">
            <v>Chaleco Reflectivo</v>
          </cell>
        </row>
        <row r="144">
          <cell r="A144" t="str">
            <v>Plomada</v>
          </cell>
          <cell r="E144" t="str">
            <v>RECUBRIMIENTO SIGMALINE 2500 BASE + CATALIZADOR m2</v>
          </cell>
        </row>
        <row r="145">
          <cell r="A145" t="str">
            <v>Porta Machuelo 10 a 19 ml</v>
          </cell>
          <cell r="E145" t="str">
            <v xml:space="preserve">DISCOS FLAP </v>
          </cell>
        </row>
        <row r="146">
          <cell r="A146" t="str">
            <v>Porta Machuelo 11 a 24 ml</v>
          </cell>
          <cell r="E146" t="str">
            <v>DISCOS CLEAN STRIP</v>
          </cell>
        </row>
        <row r="147">
          <cell r="A147" t="str">
            <v>Porta Machuelo 13 a 32 ml</v>
          </cell>
          <cell r="E147" t="str">
            <v xml:space="preserve">GRATA TRENZADA CIRCULAR </v>
          </cell>
        </row>
        <row r="148">
          <cell r="A148" t="str">
            <v>Portarraja inalambrico</v>
          </cell>
          <cell r="E148" t="str">
            <v xml:space="preserve">ARENA DE SANDBLASTING TIPO SOGAMOSO </v>
          </cell>
        </row>
        <row r="149">
          <cell r="A149" t="str">
            <v>Prensa en C</v>
          </cell>
          <cell r="E149" t="str">
            <v xml:space="preserve">GRATA TRENZADA CIRCULAR </v>
          </cell>
        </row>
        <row r="150">
          <cell r="A150" t="str">
            <v>Pulidora 7"</v>
          </cell>
        </row>
        <row r="151">
          <cell r="A151" t="str">
            <v>Pulidora de 4,5" / cortadora de mampostería</v>
          </cell>
        </row>
        <row r="152">
          <cell r="A152" t="str">
            <v>Pulidora de 7" / cortadora de mampostería</v>
          </cell>
        </row>
        <row r="153">
          <cell r="A153" t="str">
            <v>Punto Ecologico</v>
          </cell>
        </row>
        <row r="154">
          <cell r="A154" t="str">
            <v>Radio Comunicación</v>
          </cell>
        </row>
        <row r="155">
          <cell r="A155" t="str">
            <v>Rastrillo Con placa Dia</v>
          </cell>
        </row>
        <row r="156">
          <cell r="A156" t="str">
            <v>Reflectores dia</v>
          </cell>
        </row>
        <row r="157">
          <cell r="A157" t="str">
            <v>Regla de aluminio 2–3 m</v>
          </cell>
        </row>
        <row r="158">
          <cell r="A158" t="str">
            <v>Retroexcavadora con llantas</v>
          </cell>
        </row>
        <row r="159">
          <cell r="A159" t="str">
            <v>Retroexcavadora de oruga</v>
          </cell>
        </row>
        <row r="160">
          <cell r="A160" t="str">
            <v>Rodillo tipo Benitín</v>
          </cell>
        </row>
        <row r="161">
          <cell r="A161" t="str">
            <v>Señalizacion</v>
          </cell>
        </row>
        <row r="162">
          <cell r="A162" t="str">
            <v>serrucho</v>
          </cell>
        </row>
        <row r="163">
          <cell r="A163" t="str">
            <v>Sierra circular</v>
          </cell>
        </row>
        <row r="164">
          <cell r="A164" t="str">
            <v>Silla rimax</v>
          </cell>
        </row>
        <row r="165">
          <cell r="A165" t="str">
            <v>Sombrilla para sol</v>
          </cell>
        </row>
        <row r="166">
          <cell r="A166" t="str">
            <v xml:space="preserve">Tabla </v>
          </cell>
        </row>
        <row r="167">
          <cell r="A167" t="str">
            <v>Tablon</v>
          </cell>
        </row>
        <row r="168">
          <cell r="A168" t="str">
            <v>Taladro Demoledor</v>
          </cell>
        </row>
        <row r="169">
          <cell r="A169" t="str">
            <v>Taladro Magnetico</v>
          </cell>
        </row>
        <row r="170">
          <cell r="A170" t="str">
            <v xml:space="preserve">Taladro Percutor </v>
          </cell>
        </row>
        <row r="171">
          <cell r="A171" t="str">
            <v>Taladro Percutor Inalambrico</v>
          </cell>
        </row>
        <row r="172">
          <cell r="A172" t="str">
            <v>Taladro Percutor Industrial</v>
          </cell>
        </row>
        <row r="173">
          <cell r="A173" t="str">
            <v>Taladro Rotomartillo</v>
          </cell>
        </row>
        <row r="174">
          <cell r="A174" t="str">
            <v>Taladro Rotomartillo inalambrico</v>
          </cell>
        </row>
        <row r="175">
          <cell r="A175" t="str">
            <v>Tamiz</v>
          </cell>
        </row>
        <row r="176">
          <cell r="A176" t="str">
            <v>tenaza/cizalla para alambre</v>
          </cell>
        </row>
        <row r="177">
          <cell r="A177" t="str">
            <v>Termo agua</v>
          </cell>
        </row>
        <row r="178">
          <cell r="A178" t="str">
            <v>Thermo agua</v>
          </cell>
        </row>
        <row r="179">
          <cell r="A179" t="str">
            <v>Tijera industrial</v>
          </cell>
        </row>
        <row r="180">
          <cell r="A180" t="str">
            <v>Tripo para rescate espacio confinado</v>
          </cell>
        </row>
        <row r="181">
          <cell r="A181" t="str">
            <v>Tronzadora para metal 14"</v>
          </cell>
        </row>
        <row r="182">
          <cell r="A182" t="str">
            <v>Tubo de ensayo 6"</v>
          </cell>
        </row>
        <row r="183">
          <cell r="A183" t="str">
            <v>Tubo sanitario 6" Reutilizar</v>
          </cell>
        </row>
        <row r="184">
          <cell r="A184" t="str">
            <v>Unidad sanitaria</v>
          </cell>
        </row>
        <row r="185">
          <cell r="A185" t="str">
            <v>union sanitaria 6" Reutilizar</v>
          </cell>
        </row>
        <row r="186">
          <cell r="A186" t="str">
            <v>Vibrador de concreto</v>
          </cell>
        </row>
        <row r="187">
          <cell r="A187" t="str">
            <v>Vibrocompactador tipo canguro</v>
          </cell>
        </row>
        <row r="188">
          <cell r="A188" t="str">
            <v>Vibrocompactador tipo rana</v>
          </cell>
        </row>
        <row r="189">
          <cell r="A189" t="str">
            <v>Volqueta de 14 m³</v>
          </cell>
        </row>
        <row r="190">
          <cell r="A190" t="str">
            <v>Zapapico</v>
          </cell>
        </row>
        <row r="191">
          <cell r="A191" t="str">
            <v>Moto Soldador Extreme 190</v>
          </cell>
        </row>
        <row r="192">
          <cell r="A192" t="str">
            <v>Extencion electrica 30mts 3*10</v>
          </cell>
        </row>
        <row r="193">
          <cell r="A193" t="str">
            <v>Airless X70</v>
          </cell>
        </row>
        <row r="194">
          <cell r="A194" t="str">
            <v>Holiday Detector certificado</v>
          </cell>
        </row>
        <row r="195">
          <cell r="A195" t="str">
            <v>Peine de película húmeda WFT</v>
          </cell>
        </row>
        <row r="196">
          <cell r="A196" t="str">
            <v>Medidor de película seca DFT</v>
          </cell>
        </row>
        <row r="197">
          <cell r="A197" t="str">
            <v>Termohigrómetro / medidor punto de rocío</v>
          </cell>
        </row>
        <row r="198">
          <cell r="A198" t="str">
            <v>Termómetro de superficie</v>
          </cell>
        </row>
        <row r="199">
          <cell r="A199" t="str">
            <v>Medidor de perfil / cinta réplica</v>
          </cell>
        </row>
        <row r="200">
          <cell r="A200" t="str">
            <v>Mezclador de pintura</v>
          </cell>
        </row>
        <row r="201">
          <cell r="A201" t="str">
            <v>Mangueras de sandblasting</v>
          </cell>
        </row>
        <row r="202">
          <cell r="A202" t="str">
            <v>Manguera/pistola Airless</v>
          </cell>
        </row>
        <row r="203">
          <cell r="A203" t="str">
            <v>Boquillas sandblasting</v>
          </cell>
        </row>
        <row r="204">
          <cell r="A204" t="str">
            <v>Brochas de retoque</v>
          </cell>
        </row>
        <row r="205">
          <cell r="A205" t="str">
            <v>Espátulas / raspadores</v>
          </cell>
        </row>
        <row r="206">
          <cell r="A206" t="str">
            <v>Lijas A-36</v>
          </cell>
        </row>
        <row r="207">
          <cell r="A207" t="str">
            <v>DIFERENCIAL DE 3 TON</v>
          </cell>
        </row>
        <row r="208">
          <cell r="A208" t="str">
            <v>TORQUIMETRO MANUAL</v>
          </cell>
        </row>
        <row r="209">
          <cell r="A209" t="str">
            <v>COMPRESOR Y EQUIPO AIRLESS</v>
          </cell>
        </row>
        <row r="210">
          <cell r="A210" t="str">
            <v>EQUIPO PINTURA EARLES</v>
          </cell>
        </row>
        <row r="211">
          <cell r="A211" t="str">
            <v>TOLVA SAND BLASTING</v>
          </cell>
        </row>
        <row r="212">
          <cell r="A212" t="str">
            <v>GENERADOR 18 KVA</v>
          </cell>
        </row>
        <row r="213">
          <cell r="A213" t="str">
            <v>KIT INSPECCION DE RECUBRIMIENTOS</v>
          </cell>
        </row>
        <row r="214">
          <cell r="A214" t="str">
            <v>EQUIPO DE CALIDAD</v>
          </cell>
        </row>
        <row r="215">
          <cell r="A215" t="str">
            <v>ESTENSION ELECTRICA 30 METROS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190BBE-4122-4E12-B12D-ABFA93BF63BB}" name="TablaEquipos" displayName="TablaEquipos" ref="A1:C215" totalsRowShown="0" headerRowDxfId="19" headerRowBorderDxfId="18" tableBorderDxfId="17">
  <autoFilter ref="A1:C215" xr:uid="{7090D6AC-46F2-4C7A-95EE-BCF88A2F2E7B}"/>
  <sortState xmlns:xlrd2="http://schemas.microsoft.com/office/spreadsheetml/2017/richdata2" ref="A2:C190">
    <sortCondition ref="A2:A190"/>
  </sortState>
  <tableColumns count="3">
    <tableColumn id="1" xr3:uid="{F7F7D42D-0C13-41F1-A6FA-C40DAE8086C8}" name="EQUIPOS Y HERRAMIENTAS" dataDxfId="16" dataCellStyle="Moneda"/>
    <tableColumn id="2" xr3:uid="{263929E9-1A7A-4165-9643-182B0A491621}" name="TARIFA" dataDxfId="15" dataCellStyle="Moneda"/>
    <tableColumn id="3" xr3:uid="{5528D83F-C11F-422E-8808-4CEDE69A6D32}" name="TARIFA +25%" dataDxfId="14">
      <calculatedColumnFormula>B2*1.25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ABC9F-5D7F-402E-9FB5-606FA6F89258}" name="TablaMateriales" displayName="TablaMateriales" ref="E1:G149" totalsRowShown="0" headerRowDxfId="13" headerRowBorderDxfId="12">
  <autoFilter ref="E1:G149" xr:uid="{91B0E885-1CF0-4746-979F-D8CCA8B398A3}"/>
  <sortState xmlns:xlrd2="http://schemas.microsoft.com/office/spreadsheetml/2017/richdata2" ref="E2:G149">
    <sortCondition ref="E2:E149"/>
  </sortState>
  <tableColumns count="3">
    <tableColumn id="1" xr3:uid="{7F38AE8F-23A8-40EE-BF39-2B6CFBB52440}" name="MATERIALES" dataDxfId="11"/>
    <tableColumn id="2" xr3:uid="{F47A8B01-07C4-408E-980D-8BBD248B3097}" name="PRECIO" dataDxfId="10" dataCellStyle="Moneda"/>
    <tableColumn id="3" xr3:uid="{0CCACFE4-DB21-4F9D-8179-195750B6909B}" name="PRECIO +25%" dataDxfId="9" dataCellStyle="Moneda">
      <calculatedColumnFormula>F2*1.25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513F88-E237-4140-8FF1-A5E0D6C21A7D}" name="TablaTransporte" displayName="TablaTransporte" ref="I1:K26" totalsRowShown="0" headerRowDxfId="8" dataDxfId="6" headerRowBorderDxfId="7">
  <autoFilter ref="I1:K26" xr:uid="{DBA4BE14-33A1-457A-9EDB-39C76BF5DBBA}"/>
  <sortState xmlns:xlrd2="http://schemas.microsoft.com/office/spreadsheetml/2017/richdata2" ref="I2:K26">
    <sortCondition ref="I2:I26"/>
  </sortState>
  <tableColumns count="3">
    <tableColumn id="1" xr3:uid="{1B892A52-AE6C-4AC3-BD81-C39D1749324D}" name="TRANSPORTE" dataDxfId="5"/>
    <tableColumn id="2" xr3:uid="{818EF5E0-25B2-4335-AFAB-70C7D03D328D}" name="TARIFA" dataDxfId="4" dataCellStyle="Moneda"/>
    <tableColumn id="4" xr3:uid="{1431B04E-032D-4559-ABBC-51A4F7F141C0}" name="Columna1" dataDxfId="3">
      <calculatedColumnFormula>IF(J2="",0,J2*1.25)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41AC2B-3710-4D10-9F18-EC75EEA018E8}" name="Tabla8" displayName="Tabla8" ref="M1:O137" totalsRowShown="0" headerRowBorderDxfId="2" tableBorderDxfId="1">
  <autoFilter ref="M1:O137" xr:uid="{2C2B08F0-2FCF-4FAD-ADF0-31B876C0AAE3}"/>
  <sortState xmlns:xlrd2="http://schemas.microsoft.com/office/spreadsheetml/2017/richdata2" ref="M2:O131">
    <sortCondition ref="M2:M131"/>
  </sortState>
  <tableColumns count="3">
    <tableColumn id="1" xr3:uid="{E8165B37-B71D-4A1C-A67F-7F8CE337C9E5}" name="PROFESIÓN"/>
    <tableColumn id="2" xr3:uid="{E5B3E6BD-DE05-4F6B-8EDC-B083F87B4BC2}" name="NIVEL"/>
    <tableColumn id="3" xr3:uid="{BB15BB94-60CC-412D-9792-CA8F0BFB5A8C}" name="VALOR/DÍA" dataDxfId="0" dataCellStyle="Moneda">
      <calculatedColumnFormula>IFERROR(INDEX('tabla salarial'!$AS$4:$AS$9,MATCH(N2,'tabla salarial'!$AT$4:$AT$9,0)),0)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  <wetp:taskpane dockstate="right" visibility="0" width="525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1C7C32B-23A5-466F-A9BA-8D8333F5EA0C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fvnYqhVAgoyr-l_g5eme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7751F7E2-04B3-4EA5-91EB-DC16DFB00017}">
  <we:reference id="wa200010215" version="2.0.0.0" store="es-ES" storeType="OMEX"/>
  <we:alternateReferences>
    <we:reference id="wa200010215" version="2.0.0.0" store="wa200010215" storeType="OMEX"/>
  </we:alternateReferences>
  <we:properties>
    <we:property name="bps.codex_control.document_id" value="&quot;3c3d39d5-d326-4b71-bd37-25d20262b3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816E-0901-484C-801F-BE624F75294F}">
  <sheetPr>
    <pageSetUpPr fitToPage="1"/>
  </sheetPr>
  <dimension ref="A1:R399"/>
  <sheetViews>
    <sheetView tabSelected="1" zoomScale="85" zoomScaleNormal="85" workbookViewId="0">
      <pane ySplit="1" topLeftCell="A80" activePane="bottomLeft" state="frozen"/>
      <selection pane="bottomLeft" activeCell="F130" sqref="F130"/>
    </sheetView>
  </sheetViews>
  <sheetFormatPr baseColWidth="10" defaultRowHeight="15.5" x14ac:dyDescent="0.35"/>
  <cols>
    <col min="1" max="1" width="34" style="186" customWidth="1"/>
    <col min="2" max="2" width="13.90625" style="103" bestFit="1" customWidth="1"/>
    <col min="3" max="3" width="17.90625" style="103" customWidth="1"/>
    <col min="4" max="4" width="8.7265625" style="103" customWidth="1"/>
    <col min="5" max="5" width="31.7265625" style="186" customWidth="1"/>
    <col min="6" max="6" width="13.453125" style="103" bestFit="1" customWidth="1"/>
    <col min="7" max="7" width="18.26953125" style="103" bestFit="1" customWidth="1"/>
    <col min="8" max="8" width="10.90625" style="103"/>
    <col min="9" max="9" width="25.26953125" style="186" customWidth="1"/>
    <col min="10" max="10" width="12.6328125" style="103" bestFit="1" customWidth="1"/>
    <col min="11" max="12" width="10.90625" style="103"/>
    <col min="13" max="13" width="44.90625" style="103" customWidth="1"/>
    <col min="14" max="14" width="8" style="103" customWidth="1"/>
    <col min="15" max="15" width="13.36328125" style="103" bestFit="1" customWidth="1"/>
    <col min="16" max="16" width="23.81640625" style="103" customWidth="1"/>
    <col min="17" max="17" width="18.81640625" style="103" customWidth="1"/>
    <col min="18" max="18" width="21" style="103" customWidth="1"/>
    <col min="19" max="16384" width="10.90625" style="103"/>
  </cols>
  <sheetData>
    <row r="1" spans="1:15" s="184" customFormat="1" ht="16" thickBot="1" x14ac:dyDescent="0.4">
      <c r="A1" s="190" t="s">
        <v>268</v>
      </c>
      <c r="B1" s="181" t="s">
        <v>269</v>
      </c>
      <c r="C1" s="181" t="s">
        <v>372</v>
      </c>
      <c r="D1" s="182"/>
      <c r="E1" s="189" t="s">
        <v>270</v>
      </c>
      <c r="F1" s="183" t="s">
        <v>271</v>
      </c>
      <c r="G1" s="183" t="s">
        <v>373</v>
      </c>
      <c r="I1" s="189" t="s">
        <v>279</v>
      </c>
      <c r="J1" s="183" t="s">
        <v>269</v>
      </c>
      <c r="K1" s="183" t="s">
        <v>428</v>
      </c>
      <c r="M1" s="230" t="s">
        <v>630</v>
      </c>
      <c r="N1" s="183" t="s">
        <v>508</v>
      </c>
      <c r="O1" s="231" t="s">
        <v>507</v>
      </c>
    </row>
    <row r="2" spans="1:15" ht="16" thickTop="1" x14ac:dyDescent="0.35">
      <c r="A2" s="186" t="s">
        <v>241</v>
      </c>
      <c r="B2" s="185">
        <v>65000</v>
      </c>
      <c r="C2" s="185">
        <f t="shared" ref="C2:C33" si="0">B2*1.25</f>
        <v>81250</v>
      </c>
      <c r="D2" s="165"/>
      <c r="E2" s="186" t="s">
        <v>357</v>
      </c>
      <c r="F2" s="185">
        <v>5000</v>
      </c>
      <c r="G2" s="185">
        <f>F2*1.25</f>
        <v>6250</v>
      </c>
      <c r="I2" s="186" t="s">
        <v>241</v>
      </c>
      <c r="J2" s="185">
        <v>65000</v>
      </c>
      <c r="K2" s="103">
        <f t="shared" ref="K2:K9" si="1">IF(J2="",0,J2*1.25)</f>
        <v>81250</v>
      </c>
      <c r="M2" t="s">
        <v>618</v>
      </c>
      <c r="N2">
        <v>4</v>
      </c>
      <c r="O2" s="229">
        <f>IFERROR(INDEX('tabla salarial'!$AS$4:$AS$9,MATCH(N2,'tabla salarial'!$AT$4:$AT$9,0)),0)</f>
        <v>407197.80492666672</v>
      </c>
    </row>
    <row r="3" spans="1:15" x14ac:dyDescent="0.35">
      <c r="A3" s="219" t="s">
        <v>492</v>
      </c>
      <c r="B3" s="222">
        <v>1000</v>
      </c>
      <c r="C3" s="213">
        <f t="shared" si="0"/>
        <v>1250</v>
      </c>
      <c r="D3" s="165"/>
      <c r="E3" s="269" t="s">
        <v>783</v>
      </c>
      <c r="F3" s="270"/>
      <c r="G3" s="185">
        <f>F3*1.25</f>
        <v>0</v>
      </c>
      <c r="I3" s="186" t="s">
        <v>376</v>
      </c>
      <c r="J3" s="185"/>
      <c r="K3" s="103">
        <f t="shared" si="1"/>
        <v>0</v>
      </c>
      <c r="M3" t="s">
        <v>586</v>
      </c>
      <c r="N3">
        <v>5</v>
      </c>
      <c r="O3" s="229">
        <f>IFERROR(INDEX('tabla salarial'!$AS$4:$AS$9,MATCH(N3,'tabla salarial'!$AT$4:$AT$9,0)),0)</f>
        <v>443956.94156000001</v>
      </c>
    </row>
    <row r="4" spans="1:15" x14ac:dyDescent="0.35">
      <c r="A4" s="186" t="s">
        <v>232</v>
      </c>
      <c r="B4" s="185">
        <v>500</v>
      </c>
      <c r="C4" s="185">
        <f t="shared" si="0"/>
        <v>625</v>
      </c>
      <c r="D4" s="165"/>
      <c r="E4" s="186" t="s">
        <v>384</v>
      </c>
      <c r="F4" s="185">
        <v>85000</v>
      </c>
      <c r="G4" s="185">
        <f>F4*1.25</f>
        <v>106250</v>
      </c>
      <c r="I4" s="186" t="s">
        <v>381</v>
      </c>
      <c r="J4" s="185">
        <v>600000</v>
      </c>
      <c r="K4" s="103">
        <f t="shared" si="1"/>
        <v>750000</v>
      </c>
      <c r="M4" t="s">
        <v>589</v>
      </c>
      <c r="N4">
        <v>5</v>
      </c>
      <c r="O4" s="229">
        <f>IFERROR(INDEX('tabla salarial'!$AS$4:$AS$9,MATCH(N4,'tabla salarial'!$AT$4:$AT$9,0)),0)</f>
        <v>443956.94156000001</v>
      </c>
    </row>
    <row r="5" spans="1:15" x14ac:dyDescent="0.35">
      <c r="A5" s="219" t="s">
        <v>758</v>
      </c>
      <c r="B5" s="270">
        <v>3000</v>
      </c>
      <c r="C5" s="165">
        <f t="shared" si="0"/>
        <v>3750</v>
      </c>
      <c r="D5" s="165"/>
      <c r="E5" s="187" t="s">
        <v>500</v>
      </c>
      <c r="F5" s="222">
        <v>85000</v>
      </c>
      <c r="G5" s="188">
        <f>F5*1.25</f>
        <v>106250</v>
      </c>
      <c r="I5" s="186" t="s">
        <v>284</v>
      </c>
      <c r="J5" s="185"/>
      <c r="K5" s="103">
        <f t="shared" si="1"/>
        <v>0</v>
      </c>
      <c r="M5" t="s">
        <v>550</v>
      </c>
      <c r="N5">
        <v>3</v>
      </c>
      <c r="O5" s="229">
        <f>IFERROR(INDEX('tabla salarial'!$AS$4:$AS$9,MATCH(N5,'tabla salarial'!$AT$4:$AT$9,0)),0)</f>
        <v>371571.3297066667</v>
      </c>
    </row>
    <row r="6" spans="1:15" x14ac:dyDescent="0.35">
      <c r="A6" s="186" t="s">
        <v>233</v>
      </c>
      <c r="B6" s="185">
        <v>500</v>
      </c>
      <c r="C6" s="185">
        <f t="shared" si="0"/>
        <v>625</v>
      </c>
      <c r="D6" s="165"/>
      <c r="E6" s="186" t="s">
        <v>267</v>
      </c>
      <c r="F6" s="185">
        <v>65000</v>
      </c>
      <c r="G6" s="185">
        <f>F6*1.25</f>
        <v>81250</v>
      </c>
      <c r="I6" s="186" t="s">
        <v>283</v>
      </c>
      <c r="J6" s="185">
        <v>1500000</v>
      </c>
      <c r="K6" s="103">
        <f t="shared" si="1"/>
        <v>1875000</v>
      </c>
      <c r="M6" t="s">
        <v>643</v>
      </c>
      <c r="N6">
        <v>4</v>
      </c>
      <c r="O6" s="229">
        <f>IFERROR(INDEX('tabla salarial'!$AS$4:$AS$9,MATCH(N6,'tabla salarial'!$AT$4:$AT$9,0)),0)</f>
        <v>407197.80492666672</v>
      </c>
    </row>
    <row r="7" spans="1:15" x14ac:dyDescent="0.35">
      <c r="A7" s="219" t="s">
        <v>752</v>
      </c>
      <c r="B7" s="270">
        <v>3000</v>
      </c>
      <c r="C7" s="165">
        <f t="shared" si="0"/>
        <v>3750</v>
      </c>
      <c r="D7" s="165"/>
      <c r="E7" s="219" t="s">
        <v>662</v>
      </c>
      <c r="F7" s="222">
        <v>6350</v>
      </c>
      <c r="G7" s="188">
        <f>F7*1.25</f>
        <v>7937.5</v>
      </c>
      <c r="I7" s="186" t="s">
        <v>240</v>
      </c>
      <c r="J7" s="185">
        <v>550000</v>
      </c>
      <c r="K7" s="103">
        <f t="shared" si="1"/>
        <v>687500</v>
      </c>
      <c r="M7" t="s">
        <v>561</v>
      </c>
      <c r="N7">
        <v>4</v>
      </c>
      <c r="O7" s="229">
        <f>IFERROR(INDEX('tabla salarial'!$AS$4:$AS$9,MATCH(N7,'tabla salarial'!$AT$4:$AT$9,0)),0)</f>
        <v>407197.80492666672</v>
      </c>
    </row>
    <row r="8" spans="1:15" x14ac:dyDescent="0.35">
      <c r="A8" s="219" t="s">
        <v>753</v>
      </c>
      <c r="B8" s="270">
        <v>6000</v>
      </c>
      <c r="C8" s="165">
        <f t="shared" si="0"/>
        <v>7500</v>
      </c>
      <c r="D8" s="165"/>
      <c r="E8" s="186" t="s">
        <v>307</v>
      </c>
      <c r="F8" s="185">
        <v>4341</v>
      </c>
      <c r="G8" s="185">
        <f>F8*1.25</f>
        <v>5426.25</v>
      </c>
      <c r="I8" s="186" t="s">
        <v>449</v>
      </c>
      <c r="J8" s="185">
        <v>3650000</v>
      </c>
      <c r="K8" s="103">
        <f t="shared" si="1"/>
        <v>4562500</v>
      </c>
      <c r="M8" t="s">
        <v>591</v>
      </c>
      <c r="N8">
        <v>5</v>
      </c>
      <c r="O8" s="229">
        <f>IFERROR(INDEX('tabla salarial'!$AS$4:$AS$9,MATCH(N8,'tabla salarial'!$AT$4:$AT$9,0)),0)</f>
        <v>443956.94156000001</v>
      </c>
    </row>
    <row r="9" spans="1:15" x14ac:dyDescent="0.35">
      <c r="A9" s="186" t="s">
        <v>334</v>
      </c>
      <c r="B9" s="185">
        <v>450</v>
      </c>
      <c r="C9" s="185">
        <f t="shared" si="0"/>
        <v>562.5</v>
      </c>
      <c r="D9" s="165"/>
      <c r="E9" s="186" t="s">
        <v>403</v>
      </c>
      <c r="F9" s="185">
        <v>11500</v>
      </c>
      <c r="G9" s="185">
        <f>F9*1.25</f>
        <v>14375</v>
      </c>
      <c r="I9" s="186" t="s">
        <v>408</v>
      </c>
      <c r="J9" s="185">
        <v>1500000</v>
      </c>
      <c r="K9" s="103">
        <f t="shared" si="1"/>
        <v>1875000</v>
      </c>
      <c r="M9" t="s">
        <v>545</v>
      </c>
      <c r="N9">
        <v>3</v>
      </c>
      <c r="O9" s="229">
        <f>IFERROR(INDEX('tabla salarial'!$AS$4:$AS$9,MATCH(N9,'tabla salarial'!$AT$4:$AT$9,0)),0)</f>
        <v>371571.3297066667</v>
      </c>
    </row>
    <row r="10" spans="1:15" ht="31" x14ac:dyDescent="0.35">
      <c r="A10" s="219" t="s">
        <v>686</v>
      </c>
      <c r="B10" s="222">
        <v>20000</v>
      </c>
      <c r="C10" s="165">
        <f t="shared" si="0"/>
        <v>25000</v>
      </c>
      <c r="D10" s="165"/>
      <c r="E10" s="186" t="s">
        <v>424</v>
      </c>
      <c r="F10" s="185">
        <v>2750</v>
      </c>
      <c r="G10" s="185">
        <f>F10*1.25</f>
        <v>3437.5</v>
      </c>
      <c r="I10" s="186" t="s">
        <v>450</v>
      </c>
      <c r="J10" s="185">
        <v>600000</v>
      </c>
      <c r="K10" s="103">
        <f ca="1">I1:K10=IF(J10="",0,J10*1.25)</f>
        <v>0</v>
      </c>
      <c r="M10" t="s">
        <v>616</v>
      </c>
      <c r="N10">
        <v>2</v>
      </c>
      <c r="O10" s="229">
        <f>IFERROR(INDEX('tabla salarial'!$AS$4:$AS$9,MATCH(N10,'tabla salarial'!$AT$4:$AT$9,0)),0)</f>
        <v>355821.87609999999</v>
      </c>
    </row>
    <row r="11" spans="1:15" x14ac:dyDescent="0.35">
      <c r="A11" s="186" t="s">
        <v>234</v>
      </c>
      <c r="B11" s="185">
        <v>135000</v>
      </c>
      <c r="C11" s="185">
        <f t="shared" si="0"/>
        <v>168750</v>
      </c>
      <c r="D11" s="165"/>
      <c r="E11" s="187" t="s">
        <v>440</v>
      </c>
      <c r="F11" s="222">
        <v>2200</v>
      </c>
      <c r="G11" s="185">
        <f>F11*1.25</f>
        <v>2750</v>
      </c>
      <c r="I11" s="186" t="s">
        <v>281</v>
      </c>
      <c r="J11" s="185">
        <v>840000</v>
      </c>
      <c r="K11" s="103">
        <f t="shared" ref="K11:K26" si="2">IF(J11="",0,J11*1.25)</f>
        <v>1050000</v>
      </c>
      <c r="M11" t="s">
        <v>645</v>
      </c>
      <c r="N11">
        <v>2</v>
      </c>
      <c r="O11" s="229">
        <f>IFERROR(INDEX('tabla salarial'!$AS$4:$AS$9,MATCH(N11,'tabla salarial'!$AT$4:$AT$9,0)),0)</f>
        <v>355821.87609999999</v>
      </c>
    </row>
    <row r="12" spans="1:15" x14ac:dyDescent="0.35">
      <c r="A12" s="186" t="s">
        <v>658</v>
      </c>
      <c r="B12" s="185">
        <v>9000</v>
      </c>
      <c r="C12" s="185">
        <f t="shared" si="0"/>
        <v>11250</v>
      </c>
      <c r="D12" s="165"/>
      <c r="E12" s="187" t="s">
        <v>442</v>
      </c>
      <c r="F12" s="222">
        <v>1800</v>
      </c>
      <c r="G12" s="188">
        <f>F12*1.25</f>
        <v>2250</v>
      </c>
      <c r="I12" s="186" t="s">
        <v>392</v>
      </c>
      <c r="J12" s="185">
        <v>840000</v>
      </c>
      <c r="K12" s="103">
        <f t="shared" si="2"/>
        <v>1050000</v>
      </c>
      <c r="M12" t="s">
        <v>549</v>
      </c>
      <c r="N12">
        <v>3</v>
      </c>
      <c r="O12" s="229">
        <f>IFERROR(INDEX('tabla salarial'!$AS$4:$AS$9,MATCH(N12,'tabla salarial'!$AT$4:$AT$9,0)),0)</f>
        <v>371571.3297066667</v>
      </c>
    </row>
    <row r="13" spans="1:15" x14ac:dyDescent="0.35">
      <c r="A13" s="219" t="s">
        <v>682</v>
      </c>
      <c r="B13" s="222">
        <v>60000</v>
      </c>
      <c r="C13" s="165">
        <f t="shared" si="0"/>
        <v>75000</v>
      </c>
      <c r="D13" s="165"/>
      <c r="E13" s="186" t="s">
        <v>387</v>
      </c>
      <c r="F13" s="185">
        <v>6000</v>
      </c>
      <c r="G13" s="185">
        <f>F13*1.25</f>
        <v>7500</v>
      </c>
      <c r="I13" s="186" t="s">
        <v>282</v>
      </c>
      <c r="J13" s="185">
        <v>1820000</v>
      </c>
      <c r="K13" s="103">
        <f t="shared" si="2"/>
        <v>2275000</v>
      </c>
      <c r="M13" t="s">
        <v>646</v>
      </c>
      <c r="N13">
        <v>1</v>
      </c>
      <c r="O13" s="229">
        <f>IFERROR(INDEX('tabla salarial'!$AS$4:$AS$9,MATCH(N13,'tabla salarial'!$AT$4:$AT$9,0)),0)</f>
        <v>382109.06042666658</v>
      </c>
    </row>
    <row r="14" spans="1:15" x14ac:dyDescent="0.35">
      <c r="A14" s="186" t="s">
        <v>242</v>
      </c>
      <c r="B14" s="185">
        <v>1000</v>
      </c>
      <c r="C14" s="185">
        <f t="shared" si="0"/>
        <v>1250</v>
      </c>
      <c r="D14" s="165"/>
      <c r="E14" s="187" t="s">
        <v>489</v>
      </c>
      <c r="F14" s="222">
        <v>14000</v>
      </c>
      <c r="G14" s="188">
        <f>F14*1.25</f>
        <v>17500</v>
      </c>
      <c r="I14" s="186" t="s">
        <v>390</v>
      </c>
      <c r="J14" s="185">
        <v>1820000</v>
      </c>
      <c r="K14" s="103">
        <f t="shared" si="2"/>
        <v>2275000</v>
      </c>
      <c r="M14" t="s">
        <v>602</v>
      </c>
      <c r="N14">
        <v>1</v>
      </c>
      <c r="O14" s="229">
        <f>IFERROR(INDEX('tabla salarial'!$AS$4:$AS$9,MATCH(N14,'tabla salarial'!$AT$4:$AT$9,0)),0)</f>
        <v>382109.06042666658</v>
      </c>
    </row>
    <row r="15" spans="1:15" x14ac:dyDescent="0.35">
      <c r="A15" s="186" t="s">
        <v>447</v>
      </c>
      <c r="B15" s="185">
        <v>700</v>
      </c>
      <c r="C15" s="185">
        <f t="shared" si="0"/>
        <v>875</v>
      </c>
      <c r="D15" s="165"/>
      <c r="E15" s="186" t="s">
        <v>263</v>
      </c>
      <c r="F15" s="185">
        <v>14000</v>
      </c>
      <c r="G15" s="185">
        <f>F15*1.25</f>
        <v>17500</v>
      </c>
      <c r="I15" s="186" t="s">
        <v>418</v>
      </c>
      <c r="J15" s="185">
        <v>4000000</v>
      </c>
      <c r="K15" s="103">
        <f t="shared" si="2"/>
        <v>5000000</v>
      </c>
      <c r="M15" t="s">
        <v>544</v>
      </c>
      <c r="N15">
        <v>3</v>
      </c>
      <c r="O15" s="229">
        <f>IFERROR(INDEX('tabla salarial'!$AS$4:$AS$9,MATCH(N15,'tabla salarial'!$AT$4:$AT$9,0)),0)</f>
        <v>371571.3297066667</v>
      </c>
    </row>
    <row r="16" spans="1:15" x14ac:dyDescent="0.35">
      <c r="A16" s="186" t="s">
        <v>337</v>
      </c>
      <c r="B16" s="185">
        <v>500</v>
      </c>
      <c r="C16" s="185">
        <f t="shared" si="0"/>
        <v>625</v>
      </c>
      <c r="D16" s="165"/>
      <c r="E16" s="186" t="s">
        <v>308</v>
      </c>
      <c r="F16" s="185">
        <v>7592</v>
      </c>
      <c r="G16" s="185">
        <f>F16*1.25</f>
        <v>9490</v>
      </c>
      <c r="I16" s="186" t="s">
        <v>218</v>
      </c>
      <c r="J16" s="185">
        <v>1330000</v>
      </c>
      <c r="K16" s="103">
        <f t="shared" si="2"/>
        <v>1662500</v>
      </c>
      <c r="M16" t="s">
        <v>613</v>
      </c>
      <c r="N16">
        <v>2</v>
      </c>
      <c r="O16" s="229">
        <f>IFERROR(INDEX('tabla salarial'!$AS$4:$AS$9,MATCH(N16,'tabla salarial'!$AT$4:$AT$9,0)),0)</f>
        <v>355821.87609999999</v>
      </c>
    </row>
    <row r="17" spans="1:15" ht="31" x14ac:dyDescent="0.35">
      <c r="A17" s="186" t="s">
        <v>416</v>
      </c>
      <c r="B17" s="185">
        <v>12000</v>
      </c>
      <c r="C17" s="185">
        <f t="shared" si="0"/>
        <v>15000</v>
      </c>
      <c r="D17" s="165"/>
      <c r="E17" s="268" t="s">
        <v>803</v>
      </c>
      <c r="F17" s="270">
        <v>11934</v>
      </c>
      <c r="G17" s="188">
        <f>F17*1.25</f>
        <v>14917.5</v>
      </c>
      <c r="I17" s="186" t="s">
        <v>244</v>
      </c>
      <c r="J17" s="185">
        <v>190000</v>
      </c>
      <c r="K17" s="103">
        <f t="shared" si="2"/>
        <v>237500</v>
      </c>
      <c r="M17" t="s">
        <v>542</v>
      </c>
      <c r="N17">
        <v>3</v>
      </c>
      <c r="O17" s="229">
        <f>IFERROR(INDEX('tabla salarial'!$AS$4:$AS$9,MATCH(N17,'tabla salarial'!$AT$4:$AT$9,0)),0)</f>
        <v>371571.3297066667</v>
      </c>
    </row>
    <row r="18" spans="1:15" ht="31" x14ac:dyDescent="0.35">
      <c r="A18" s="219" t="s">
        <v>660</v>
      </c>
      <c r="B18" s="222">
        <v>3000</v>
      </c>
      <c r="C18" s="165">
        <f t="shared" si="0"/>
        <v>3750</v>
      </c>
      <c r="D18" s="165"/>
      <c r="E18" s="186" t="s">
        <v>425</v>
      </c>
      <c r="F18" s="185">
        <v>21000</v>
      </c>
      <c r="G18" s="185">
        <f>F18*1.25</f>
        <v>26250</v>
      </c>
      <c r="I18" s="186" t="s">
        <v>299</v>
      </c>
      <c r="J18" s="185">
        <v>1330000</v>
      </c>
      <c r="K18" s="103">
        <f t="shared" si="2"/>
        <v>1662500</v>
      </c>
      <c r="M18" t="s">
        <v>525</v>
      </c>
      <c r="N18">
        <v>2</v>
      </c>
      <c r="O18" s="229">
        <f>IFERROR(INDEX('tabla salarial'!$AS$4:$AS$9,MATCH(N18,'tabla salarial'!$AT$4:$AT$9,0)),0)</f>
        <v>355821.87609999999</v>
      </c>
    </row>
    <row r="19" spans="1:15" x14ac:dyDescent="0.35">
      <c r="A19" s="186" t="s">
        <v>228</v>
      </c>
      <c r="B19" s="185">
        <v>1500</v>
      </c>
      <c r="C19" s="185">
        <f t="shared" si="0"/>
        <v>1875</v>
      </c>
      <c r="D19" s="165"/>
      <c r="E19" s="186" t="s">
        <v>427</v>
      </c>
      <c r="F19" s="185">
        <v>31000</v>
      </c>
      <c r="G19" s="185">
        <f>F19*1.25</f>
        <v>38750</v>
      </c>
      <c r="I19" s="186" t="s">
        <v>246</v>
      </c>
      <c r="J19" s="185">
        <v>322000</v>
      </c>
      <c r="K19" s="103">
        <f t="shared" si="2"/>
        <v>402500</v>
      </c>
      <c r="M19" t="s">
        <v>528</v>
      </c>
      <c r="N19">
        <v>2</v>
      </c>
      <c r="O19" s="229">
        <f>IFERROR(INDEX('tabla salarial'!$AS$4:$AS$9,MATCH(N19,'tabla salarial'!$AT$4:$AT$9,0)),0)</f>
        <v>355821.87609999999</v>
      </c>
    </row>
    <row r="20" spans="1:15" ht="31" x14ac:dyDescent="0.35">
      <c r="A20" s="219" t="s">
        <v>661</v>
      </c>
      <c r="B20" s="222">
        <v>1000</v>
      </c>
      <c r="C20" s="165">
        <f t="shared" si="0"/>
        <v>1250</v>
      </c>
      <c r="D20" s="165"/>
      <c r="E20" s="187" t="s">
        <v>445</v>
      </c>
      <c r="F20" s="222">
        <v>34900</v>
      </c>
      <c r="G20" s="188">
        <f>F20*1.25</f>
        <v>43625</v>
      </c>
      <c r="I20" s="186" t="s">
        <v>475</v>
      </c>
      <c r="J20" s="185">
        <v>4500000</v>
      </c>
      <c r="K20" s="103">
        <f t="shared" si="2"/>
        <v>5625000</v>
      </c>
      <c r="M20" t="s">
        <v>611</v>
      </c>
      <c r="N20">
        <v>2</v>
      </c>
      <c r="O20" s="229">
        <f>IFERROR(INDEX('tabla salarial'!$AS$4:$AS$9,MATCH(N20,'tabla salarial'!$AT$4:$AT$9,0)),0)</f>
        <v>355821.87609999999</v>
      </c>
    </row>
    <row r="21" spans="1:15" x14ac:dyDescent="0.35">
      <c r="A21" s="219" t="s">
        <v>649</v>
      </c>
      <c r="B21" s="222">
        <v>70000</v>
      </c>
      <c r="C21" s="165">
        <f t="shared" si="0"/>
        <v>87500</v>
      </c>
      <c r="D21" s="165"/>
      <c r="E21" s="186" t="s">
        <v>242</v>
      </c>
      <c r="F21" s="185">
        <v>500</v>
      </c>
      <c r="G21" s="185">
        <f>F21*1.25</f>
        <v>625</v>
      </c>
      <c r="I21" s="186" t="s">
        <v>294</v>
      </c>
      <c r="J21" s="185">
        <v>1650000</v>
      </c>
      <c r="K21" s="103">
        <f t="shared" si="2"/>
        <v>2062500</v>
      </c>
      <c r="M21" t="s">
        <v>526</v>
      </c>
      <c r="N21">
        <v>2</v>
      </c>
      <c r="O21" s="229">
        <f>IFERROR(INDEX('tabla salarial'!$AS$4:$AS$9,MATCH(N21,'tabla salarial'!$AT$4:$AT$9,0)),0)</f>
        <v>355821.87609999999</v>
      </c>
    </row>
    <row r="22" spans="1:15" x14ac:dyDescent="0.35">
      <c r="A22" s="219" t="s">
        <v>655</v>
      </c>
      <c r="B22" s="222">
        <v>5000</v>
      </c>
      <c r="C22" s="165">
        <f t="shared" si="0"/>
        <v>6250</v>
      </c>
      <c r="D22" s="165"/>
      <c r="E22" s="187" t="s">
        <v>411</v>
      </c>
      <c r="F22" s="222">
        <v>390000</v>
      </c>
      <c r="G22" s="185">
        <f>F22*1.25</f>
        <v>487500</v>
      </c>
      <c r="I22" s="186" t="s">
        <v>297</v>
      </c>
      <c r="J22" s="185">
        <v>4500000</v>
      </c>
      <c r="K22" s="103">
        <f t="shared" si="2"/>
        <v>5625000</v>
      </c>
      <c r="M22" t="s">
        <v>513</v>
      </c>
      <c r="N22">
        <v>2</v>
      </c>
      <c r="O22" s="229">
        <f>IFERROR(INDEX('tabla salarial'!$AS$4:$AS$9,MATCH(N22,'tabla salarial'!$AT$4:$AT$9,0)),0)</f>
        <v>355821.87609999999</v>
      </c>
    </row>
    <row r="23" spans="1:15" x14ac:dyDescent="0.35">
      <c r="A23" s="269" t="s">
        <v>735</v>
      </c>
      <c r="B23" s="270">
        <v>80000</v>
      </c>
      <c r="C23" s="165">
        <f t="shared" si="0"/>
        <v>100000</v>
      </c>
      <c r="D23" s="165"/>
      <c r="E23" s="186" t="s">
        <v>410</v>
      </c>
      <c r="F23" s="185">
        <v>76500</v>
      </c>
      <c r="G23" s="185">
        <f>F23*1.25</f>
        <v>95625</v>
      </c>
      <c r="I23" s="186" t="s">
        <v>296</v>
      </c>
      <c r="J23" s="185">
        <v>1650000</v>
      </c>
      <c r="K23" s="103">
        <f t="shared" si="2"/>
        <v>2062500</v>
      </c>
      <c r="M23" t="s">
        <v>621</v>
      </c>
      <c r="N23">
        <v>4</v>
      </c>
      <c r="O23" s="229">
        <f>IFERROR(INDEX('tabla salarial'!$AS$4:$AS$9,MATCH(N23,'tabla salarial'!$AT$4:$AT$9,0)),0)</f>
        <v>407197.80492666672</v>
      </c>
    </row>
    <row r="24" spans="1:15" x14ac:dyDescent="0.35">
      <c r="A24" s="186" t="s">
        <v>323</v>
      </c>
      <c r="B24" s="185">
        <v>4000</v>
      </c>
      <c r="C24" s="185">
        <f t="shared" si="0"/>
        <v>5000</v>
      </c>
      <c r="D24" s="165"/>
      <c r="E24" s="187" t="s">
        <v>676</v>
      </c>
      <c r="F24" s="222">
        <v>2000</v>
      </c>
      <c r="G24" s="188">
        <f>F24*1.25</f>
        <v>2500</v>
      </c>
      <c r="I24" s="186" t="s">
        <v>280</v>
      </c>
      <c r="J24" s="185">
        <v>1330000</v>
      </c>
      <c r="K24" s="103">
        <f t="shared" si="2"/>
        <v>1662500</v>
      </c>
      <c r="M24" t="s">
        <v>514</v>
      </c>
      <c r="N24">
        <v>2</v>
      </c>
      <c r="O24" s="229">
        <f>IFERROR(INDEX('tabla salarial'!$AS$4:$AS$9,MATCH(N24,'tabla salarial'!$AT$4:$AT$9,0)),0)</f>
        <v>355821.87609999999</v>
      </c>
    </row>
    <row r="25" spans="1:15" x14ac:dyDescent="0.35">
      <c r="A25" s="186" t="s">
        <v>443</v>
      </c>
      <c r="B25" s="185">
        <v>5000</v>
      </c>
      <c r="C25" s="185">
        <f t="shared" si="0"/>
        <v>6250</v>
      </c>
      <c r="D25" s="165"/>
      <c r="E25" s="268" t="s">
        <v>751</v>
      </c>
      <c r="F25" s="270">
        <v>1500</v>
      </c>
      <c r="G25" s="188">
        <f>F25*1.25</f>
        <v>1875</v>
      </c>
      <c r="I25" s="186" t="s">
        <v>295</v>
      </c>
      <c r="J25" s="185">
        <v>1250000</v>
      </c>
      <c r="K25" s="103">
        <f t="shared" si="2"/>
        <v>1562500</v>
      </c>
      <c r="M25" t="s">
        <v>622</v>
      </c>
      <c r="N25">
        <v>4</v>
      </c>
      <c r="O25" s="229">
        <f>IFERROR(INDEX('tabla salarial'!$AS$4:$AS$9,MATCH(N25,'tabla salarial'!$AT$4:$AT$9,0)),0)</f>
        <v>407197.80492666672</v>
      </c>
    </row>
    <row r="26" spans="1:15" x14ac:dyDescent="0.35">
      <c r="A26" s="219" t="s">
        <v>696</v>
      </c>
      <c r="B26" s="270">
        <v>5000</v>
      </c>
      <c r="C26" s="165">
        <f t="shared" si="0"/>
        <v>6250</v>
      </c>
      <c r="D26" s="165"/>
      <c r="E26" s="186" t="s">
        <v>426</v>
      </c>
      <c r="F26" s="185"/>
      <c r="G26" s="185">
        <f>F26*1.25</f>
        <v>0</v>
      </c>
      <c r="I26" s="186" t="s">
        <v>245</v>
      </c>
      <c r="J26" s="185">
        <v>1350000</v>
      </c>
      <c r="K26" s="103">
        <f t="shared" si="2"/>
        <v>1687500</v>
      </c>
      <c r="M26" t="s">
        <v>522</v>
      </c>
      <c r="N26">
        <v>2</v>
      </c>
      <c r="O26" s="229">
        <f>IFERROR(INDEX('tabla salarial'!$AS$4:$AS$9,MATCH(N26,'tabla salarial'!$AT$4:$AT$9,0)),0)</f>
        <v>355821.87609999999</v>
      </c>
    </row>
    <row r="27" spans="1:15" x14ac:dyDescent="0.35">
      <c r="A27" s="219" t="s">
        <v>695</v>
      </c>
      <c r="B27" s="270">
        <v>3000</v>
      </c>
      <c r="C27" s="165">
        <f t="shared" si="0"/>
        <v>3750</v>
      </c>
      <c r="D27" s="165"/>
      <c r="E27" s="186" t="s">
        <v>395</v>
      </c>
      <c r="F27" s="185">
        <v>455000</v>
      </c>
      <c r="G27" s="185">
        <f>F27*1.25</f>
        <v>568750</v>
      </c>
      <c r="M27" t="s">
        <v>515</v>
      </c>
      <c r="N27">
        <v>2</v>
      </c>
      <c r="O27" s="229">
        <f>IFERROR(INDEX('tabla salarial'!$AS$4:$AS$9,MATCH(N27,'tabla salarial'!$AT$4:$AT$9,0)),0)</f>
        <v>355821.87609999999</v>
      </c>
    </row>
    <row r="28" spans="1:15" x14ac:dyDescent="0.35">
      <c r="A28" s="186" t="s">
        <v>315</v>
      </c>
      <c r="B28" s="185">
        <v>600000</v>
      </c>
      <c r="C28" s="185">
        <f t="shared" si="0"/>
        <v>750000</v>
      </c>
      <c r="D28" s="165"/>
      <c r="E28" s="186" t="s">
        <v>265</v>
      </c>
      <c r="F28" s="185">
        <v>65000</v>
      </c>
      <c r="G28" s="185">
        <f>F28*1.25</f>
        <v>81250</v>
      </c>
      <c r="M28" t="s">
        <v>604</v>
      </c>
      <c r="N28">
        <v>1</v>
      </c>
      <c r="O28" s="229">
        <f>IFERROR(INDEX('tabla salarial'!$AS$4:$AS$9,MATCH(N28,'tabla salarial'!$AT$4:$AT$9,0)),0)</f>
        <v>382109.06042666658</v>
      </c>
    </row>
    <row r="29" spans="1:15" x14ac:dyDescent="0.35">
      <c r="A29" s="186" t="s">
        <v>380</v>
      </c>
      <c r="B29" s="185">
        <v>20000</v>
      </c>
      <c r="C29" s="185">
        <f t="shared" si="0"/>
        <v>25000</v>
      </c>
      <c r="D29" s="165"/>
      <c r="E29" s="186" t="s">
        <v>266</v>
      </c>
      <c r="F29" s="185">
        <v>65000</v>
      </c>
      <c r="G29" s="185">
        <f>F29*1.25</f>
        <v>81250</v>
      </c>
      <c r="M29" t="s">
        <v>523</v>
      </c>
      <c r="N29">
        <v>2</v>
      </c>
      <c r="O29" s="229">
        <f>IFERROR(INDEX('tabla salarial'!$AS$4:$AS$9,MATCH(N29,'tabla salarial'!$AT$4:$AT$9,0)),0)</f>
        <v>355821.87609999999</v>
      </c>
    </row>
    <row r="30" spans="1:15" x14ac:dyDescent="0.35">
      <c r="A30" s="269" t="s">
        <v>698</v>
      </c>
      <c r="B30" s="270">
        <v>10000</v>
      </c>
      <c r="C30" s="165">
        <f t="shared" si="0"/>
        <v>12500</v>
      </c>
      <c r="D30" s="165"/>
      <c r="E30" s="187" t="s">
        <v>683</v>
      </c>
      <c r="F30" s="222">
        <v>20000</v>
      </c>
      <c r="G30" s="188">
        <f>F30*1.25</f>
        <v>25000</v>
      </c>
      <c r="M30" t="s">
        <v>530</v>
      </c>
      <c r="N30">
        <v>2</v>
      </c>
      <c r="O30" s="229">
        <f>IFERROR(INDEX('tabla salarial'!$AS$4:$AS$9,MATCH(N30,'tabla salarial'!$AT$4:$AT$9,0)),0)</f>
        <v>355821.87609999999</v>
      </c>
    </row>
    <row r="31" spans="1:15" x14ac:dyDescent="0.35">
      <c r="A31" s="186" t="s">
        <v>322</v>
      </c>
      <c r="B31" s="185">
        <v>3000</v>
      </c>
      <c r="C31" s="185">
        <f t="shared" si="0"/>
        <v>3750</v>
      </c>
      <c r="D31" s="165"/>
      <c r="E31" s="186" t="s">
        <v>255</v>
      </c>
      <c r="F31" s="185">
        <v>50000</v>
      </c>
      <c r="G31" s="185">
        <f>F31*1.25</f>
        <v>62500</v>
      </c>
      <c r="M31" t="s">
        <v>623</v>
      </c>
      <c r="N31">
        <v>4</v>
      </c>
      <c r="O31" s="229">
        <f>IFERROR(INDEX('tabla salarial'!$AS$4:$AS$9,MATCH(N31,'tabla salarial'!$AT$4:$AT$9,0)),0)</f>
        <v>407197.80492666672</v>
      </c>
    </row>
    <row r="32" spans="1:15" x14ac:dyDescent="0.35">
      <c r="A32" s="186" t="s">
        <v>240</v>
      </c>
      <c r="B32" s="185">
        <v>550000</v>
      </c>
      <c r="C32" s="185">
        <f t="shared" si="0"/>
        <v>687500</v>
      </c>
      <c r="D32" s="165"/>
      <c r="E32" s="187" t="s">
        <v>400</v>
      </c>
      <c r="F32" s="222">
        <v>42000</v>
      </c>
      <c r="G32" s="185">
        <f>F32*1.25</f>
        <v>52500</v>
      </c>
      <c r="M32" t="s">
        <v>524</v>
      </c>
      <c r="N32">
        <v>2</v>
      </c>
      <c r="O32" s="229">
        <f>IFERROR(INDEX('tabla salarial'!$AS$4:$AS$9,MATCH(N32,'tabla salarial'!$AT$4:$AT$9,0)),0)</f>
        <v>355821.87609999999</v>
      </c>
    </row>
    <row r="33" spans="1:15" x14ac:dyDescent="0.35">
      <c r="A33" s="186" t="s">
        <v>319</v>
      </c>
      <c r="B33" s="185">
        <v>40000</v>
      </c>
      <c r="C33" s="185">
        <f t="shared" si="0"/>
        <v>50000</v>
      </c>
      <c r="D33" s="165"/>
      <c r="E33" s="186" t="s">
        <v>317</v>
      </c>
      <c r="F33" s="185">
        <v>27500</v>
      </c>
      <c r="G33" s="185">
        <f>F33*1.25</f>
        <v>34375</v>
      </c>
      <c r="M33" t="s">
        <v>531</v>
      </c>
      <c r="N33">
        <v>3</v>
      </c>
      <c r="O33" s="229">
        <f>IFERROR(INDEX('tabla salarial'!$AS$4:$AS$9,MATCH(N33,'tabla salarial'!$AT$4:$AT$9,0)),0)</f>
        <v>371571.3297066667</v>
      </c>
    </row>
    <row r="34" spans="1:15" x14ac:dyDescent="0.35">
      <c r="A34" s="186" t="s">
        <v>317</v>
      </c>
      <c r="B34" s="185">
        <v>27500</v>
      </c>
      <c r="C34" s="185">
        <f t="shared" ref="C34:C65" si="3">B34*1.25</f>
        <v>34375</v>
      </c>
      <c r="D34" s="165"/>
      <c r="E34" s="186" t="s">
        <v>318</v>
      </c>
      <c r="F34" s="185">
        <v>30000</v>
      </c>
      <c r="G34" s="185">
        <f>F34*1.25</f>
        <v>37500</v>
      </c>
      <c r="M34" t="s">
        <v>642</v>
      </c>
      <c r="N34">
        <v>4</v>
      </c>
      <c r="O34" s="229">
        <f>IFERROR(INDEX('tabla salarial'!$AS$4:$AS$9,MATCH(N34,'tabla salarial'!$AT$4:$AT$9,0)),0)</f>
        <v>407197.80492666672</v>
      </c>
    </row>
    <row r="35" spans="1:15" x14ac:dyDescent="0.35">
      <c r="A35" s="186" t="s">
        <v>318</v>
      </c>
      <c r="B35" s="185">
        <v>30000</v>
      </c>
      <c r="C35" s="185">
        <f t="shared" si="3"/>
        <v>37500</v>
      </c>
      <c r="D35" s="165"/>
      <c r="E35" s="186" t="s">
        <v>316</v>
      </c>
      <c r="F35" s="185">
        <v>32500</v>
      </c>
      <c r="G35" s="185">
        <f>F35*1.25</f>
        <v>40625</v>
      </c>
      <c r="M35" t="s">
        <v>601</v>
      </c>
      <c r="N35">
        <v>1</v>
      </c>
      <c r="O35" s="229">
        <f>IFERROR(INDEX('tabla salarial'!$AS$4:$AS$9,MATCH(N35,'tabla salarial'!$AT$4:$AT$9,0)),0)</f>
        <v>382109.06042666658</v>
      </c>
    </row>
    <row r="36" spans="1:15" x14ac:dyDescent="0.35">
      <c r="A36" s="186" t="s">
        <v>316</v>
      </c>
      <c r="B36" s="185">
        <v>32500</v>
      </c>
      <c r="C36" s="185">
        <f t="shared" si="3"/>
        <v>40625</v>
      </c>
      <c r="D36" s="165"/>
      <c r="E36" s="269" t="s">
        <v>785</v>
      </c>
      <c r="F36" s="270"/>
      <c r="G36" s="185">
        <f>F36*1.25</f>
        <v>0</v>
      </c>
      <c r="M36" t="s">
        <v>518</v>
      </c>
      <c r="N36">
        <v>2</v>
      </c>
      <c r="O36" s="229">
        <f>IFERROR(INDEX('tabla salarial'!$AS$4:$AS$9,MATCH(N36,'tabla salarial'!$AT$4:$AT$9,0)),0)</f>
        <v>355821.87609999999</v>
      </c>
    </row>
    <row r="37" spans="1:15" x14ac:dyDescent="0.35">
      <c r="A37" s="186" t="s">
        <v>229</v>
      </c>
      <c r="B37" s="185">
        <v>1500</v>
      </c>
      <c r="C37" s="185">
        <f t="shared" si="3"/>
        <v>1875</v>
      </c>
      <c r="D37" s="165"/>
      <c r="E37" s="187" t="s">
        <v>455</v>
      </c>
      <c r="F37" s="271">
        <v>38000</v>
      </c>
      <c r="G37" s="188">
        <f>F37*1.25</f>
        <v>47500</v>
      </c>
      <c r="M37" t="s">
        <v>596</v>
      </c>
      <c r="N37">
        <v>6</v>
      </c>
      <c r="O37" s="229">
        <f>IFERROR(INDEX('tabla salarial'!$AS$4:$AS$9,MATCH(N37,'tabla salarial'!$AT$4:$AT$9,0)),0)</f>
        <v>555393.74067333317</v>
      </c>
    </row>
    <row r="38" spans="1:15" x14ac:dyDescent="0.35">
      <c r="A38" s="219" t="s">
        <v>677</v>
      </c>
      <c r="B38" s="222">
        <v>3000</v>
      </c>
      <c r="C38" s="165">
        <f t="shared" si="3"/>
        <v>3750</v>
      </c>
      <c r="D38" s="165"/>
      <c r="E38" s="186" t="s">
        <v>356</v>
      </c>
      <c r="F38" s="185">
        <v>35000</v>
      </c>
      <c r="G38" s="185">
        <f>F38*1.25</f>
        <v>43750</v>
      </c>
      <c r="M38" t="s">
        <v>626</v>
      </c>
      <c r="N38">
        <v>4</v>
      </c>
      <c r="O38" s="229">
        <f>IFERROR(INDEX('tabla salarial'!$AS$4:$AS$9,MATCH(N38,'tabla salarial'!$AT$4:$AT$9,0)),0)</f>
        <v>407197.80492666672</v>
      </c>
    </row>
    <row r="39" spans="1:15" x14ac:dyDescent="0.35">
      <c r="A39" s="186" t="s">
        <v>347</v>
      </c>
      <c r="B39" s="185">
        <v>625</v>
      </c>
      <c r="C39" s="185">
        <f t="shared" si="3"/>
        <v>781.25</v>
      </c>
      <c r="D39" s="165"/>
      <c r="E39" s="187" t="s">
        <v>356</v>
      </c>
      <c r="F39" s="222">
        <v>43750</v>
      </c>
      <c r="G39" s="188">
        <f>F39*1.25</f>
        <v>54687.5</v>
      </c>
      <c r="M39" t="s">
        <v>612</v>
      </c>
      <c r="N39">
        <v>2</v>
      </c>
      <c r="O39" s="229">
        <f>IFERROR(INDEX('tabla salarial'!$AS$4:$AS$9,MATCH(N39,'tabla salarial'!$AT$4:$AT$9,0)),0)</f>
        <v>355821.87609999999</v>
      </c>
    </row>
    <row r="40" spans="1:15" x14ac:dyDescent="0.35">
      <c r="A40" s="219" t="s">
        <v>687</v>
      </c>
      <c r="B40" s="222">
        <v>3000</v>
      </c>
      <c r="C40" s="165">
        <f t="shared" si="3"/>
        <v>3750</v>
      </c>
      <c r="D40" s="165"/>
      <c r="E40" s="187" t="s">
        <v>792</v>
      </c>
      <c r="F40" s="270">
        <v>20000</v>
      </c>
      <c r="G40" s="188">
        <f>F40*1.25</f>
        <v>25000</v>
      </c>
      <c r="M40" t="s">
        <v>512</v>
      </c>
      <c r="N40">
        <v>1</v>
      </c>
      <c r="O40" s="229">
        <f>IFERROR(INDEX('tabla salarial'!$AS$4:$AS$9,MATCH(N40,'tabla salarial'!$AT$4:$AT$9,0)),0)</f>
        <v>382109.06042666658</v>
      </c>
    </row>
    <row r="41" spans="1:15" x14ac:dyDescent="0.35">
      <c r="A41" s="219" t="s">
        <v>491</v>
      </c>
      <c r="B41" s="222">
        <v>3000</v>
      </c>
      <c r="C41" s="165">
        <f t="shared" si="3"/>
        <v>3750</v>
      </c>
      <c r="D41" s="165"/>
      <c r="E41" s="187" t="s">
        <v>672</v>
      </c>
      <c r="F41" s="222">
        <v>14900</v>
      </c>
      <c r="G41" s="188">
        <f>F41*1.25</f>
        <v>18625</v>
      </c>
      <c r="M41" t="s">
        <v>543</v>
      </c>
      <c r="N41">
        <v>3</v>
      </c>
      <c r="O41" s="229">
        <f>IFERROR(INDEX('tabla salarial'!$AS$4:$AS$9,MATCH(N41,'tabla salarial'!$AT$4:$AT$9,0)),0)</f>
        <v>371571.3297066667</v>
      </c>
    </row>
    <row r="42" spans="1:15" ht="31" x14ac:dyDescent="0.35">
      <c r="A42" s="219" t="s">
        <v>462</v>
      </c>
      <c r="B42" s="222">
        <v>10000</v>
      </c>
      <c r="C42" s="165">
        <f t="shared" si="3"/>
        <v>12500</v>
      </c>
      <c r="D42" s="165"/>
      <c r="E42" s="186" t="s">
        <v>261</v>
      </c>
      <c r="F42" s="185">
        <v>55000</v>
      </c>
      <c r="G42" s="185">
        <f>F42*1.25</f>
        <v>68750</v>
      </c>
      <c r="M42" t="s">
        <v>516</v>
      </c>
      <c r="N42">
        <v>2</v>
      </c>
      <c r="O42" s="229">
        <f>IFERROR(INDEX('tabla salarial'!$AS$4:$AS$9,MATCH(N42,'tabla salarial'!$AT$4:$AT$9,0)),0)</f>
        <v>355821.87609999999</v>
      </c>
    </row>
    <row r="43" spans="1:15" x14ac:dyDescent="0.35">
      <c r="A43" s="186" t="s">
        <v>341</v>
      </c>
      <c r="B43" s="185">
        <v>1000</v>
      </c>
      <c r="C43" s="185">
        <f t="shared" si="3"/>
        <v>1250</v>
      </c>
      <c r="D43" s="165"/>
      <c r="E43" s="269" t="s">
        <v>788</v>
      </c>
      <c r="F43" s="270"/>
      <c r="G43" s="185">
        <f>F43*1.25</f>
        <v>0</v>
      </c>
      <c r="M43" t="s">
        <v>579</v>
      </c>
      <c r="N43">
        <v>5</v>
      </c>
      <c r="O43" s="229">
        <f>IFERROR(INDEX('tabla salarial'!$AS$4:$AS$9,MATCH(N43,'tabla salarial'!$AT$4:$AT$9,0)),0)</f>
        <v>443956.94156000001</v>
      </c>
    </row>
    <row r="44" spans="1:15" x14ac:dyDescent="0.35">
      <c r="A44" s="186" t="s">
        <v>239</v>
      </c>
      <c r="B44" s="185">
        <v>1000</v>
      </c>
      <c r="C44" s="185">
        <f t="shared" si="3"/>
        <v>1250</v>
      </c>
      <c r="D44" s="165"/>
      <c r="E44" s="186" t="s">
        <v>259</v>
      </c>
      <c r="F44" s="185">
        <v>15000</v>
      </c>
      <c r="G44" s="185">
        <f>F44*1.25</f>
        <v>18750</v>
      </c>
      <c r="M44" t="s">
        <v>575</v>
      </c>
      <c r="N44">
        <v>4</v>
      </c>
      <c r="O44" s="229">
        <f>IFERROR(INDEX('tabla salarial'!$AS$4:$AS$9,MATCH(N44,'tabla salarial'!$AT$4:$AT$9,0)),0)</f>
        <v>407197.80492666672</v>
      </c>
    </row>
    <row r="45" spans="1:15" ht="31" x14ac:dyDescent="0.35">
      <c r="A45" s="219" t="s">
        <v>678</v>
      </c>
      <c r="B45" s="222">
        <v>25000</v>
      </c>
      <c r="C45" s="165">
        <f t="shared" si="3"/>
        <v>31250</v>
      </c>
      <c r="D45" s="165"/>
      <c r="E45" s="186" t="s">
        <v>306</v>
      </c>
      <c r="F45" s="185">
        <v>464823</v>
      </c>
      <c r="G45" s="185">
        <f>F45*1.25</f>
        <v>581028.75</v>
      </c>
      <c r="M45" t="s">
        <v>559</v>
      </c>
      <c r="N45">
        <v>4</v>
      </c>
      <c r="O45" s="229">
        <f>IFERROR(INDEX('tabla salarial'!$AS$4:$AS$9,MATCH(N45,'tabla salarial'!$AT$4:$AT$9,0)),0)</f>
        <v>407197.80492666672</v>
      </c>
    </row>
    <row r="46" spans="1:15" ht="31" x14ac:dyDescent="0.35">
      <c r="A46" s="269" t="s">
        <v>728</v>
      </c>
      <c r="B46" s="270">
        <v>25000</v>
      </c>
      <c r="C46" s="165">
        <f t="shared" si="3"/>
        <v>31250</v>
      </c>
      <c r="D46" s="165"/>
      <c r="E46" s="186" t="s">
        <v>305</v>
      </c>
      <c r="F46" s="188">
        <v>620000</v>
      </c>
      <c r="G46" s="185">
        <f>F46*1.25</f>
        <v>775000</v>
      </c>
      <c r="M46" t="s">
        <v>552</v>
      </c>
      <c r="N46">
        <v>4</v>
      </c>
      <c r="O46" s="229">
        <f>IFERROR(INDEX('tabla salarial'!$AS$4:$AS$9,MATCH(N46,'tabla salarial'!$AT$4:$AT$9,0)),0)</f>
        <v>407197.80492666672</v>
      </c>
    </row>
    <row r="47" spans="1:15" ht="31" x14ac:dyDescent="0.35">
      <c r="A47" s="186" t="s">
        <v>459</v>
      </c>
      <c r="B47" s="185">
        <v>60000</v>
      </c>
      <c r="C47" s="185">
        <f t="shared" si="3"/>
        <v>75000</v>
      </c>
      <c r="D47" s="165"/>
      <c r="E47" s="186" t="s">
        <v>650</v>
      </c>
      <c r="F47" s="222">
        <v>670000</v>
      </c>
      <c r="G47" s="185">
        <f>F47*1.25</f>
        <v>837500</v>
      </c>
      <c r="M47" t="s">
        <v>577</v>
      </c>
      <c r="N47">
        <v>5</v>
      </c>
      <c r="O47" s="229">
        <f>IFERROR(INDEX('tabla salarial'!$AS$4:$AS$9,MATCH(N47,'tabla salarial'!$AT$4:$AT$9,0)),0)</f>
        <v>443956.94156000001</v>
      </c>
    </row>
    <row r="48" spans="1:15" x14ac:dyDescent="0.35">
      <c r="A48" s="269" t="s">
        <v>736</v>
      </c>
      <c r="B48" s="270">
        <v>500</v>
      </c>
      <c r="C48" s="165">
        <f t="shared" si="3"/>
        <v>625</v>
      </c>
      <c r="D48" s="165"/>
      <c r="E48" s="187" t="s">
        <v>634</v>
      </c>
      <c r="F48" s="222">
        <v>550000</v>
      </c>
      <c r="G48" s="188">
        <f>F48*1.25</f>
        <v>687500</v>
      </c>
      <c r="M48" t="s">
        <v>564</v>
      </c>
      <c r="N48">
        <v>4</v>
      </c>
      <c r="O48" s="229">
        <f>IFERROR(INDEX('tabla salarial'!$AS$4:$AS$9,MATCH(N48,'tabla salarial'!$AT$4:$AT$9,0)),0)</f>
        <v>407197.80492666672</v>
      </c>
    </row>
    <row r="49" spans="1:15" x14ac:dyDescent="0.35">
      <c r="A49" s="219" t="s">
        <v>690</v>
      </c>
      <c r="B49" s="270">
        <v>50000</v>
      </c>
      <c r="C49" s="165">
        <f t="shared" si="3"/>
        <v>62500</v>
      </c>
      <c r="D49" s="165"/>
      <c r="E49" s="187" t="s">
        <v>437</v>
      </c>
      <c r="F49" s="222"/>
      <c r="G49" s="188">
        <f>F49*1.25</f>
        <v>0</v>
      </c>
      <c r="M49" t="s">
        <v>597</v>
      </c>
      <c r="N49">
        <v>6</v>
      </c>
      <c r="O49" s="229">
        <f>IFERROR(INDEX('tabla salarial'!$AS$4:$AS$9,MATCH(N49,'tabla salarial'!$AT$4:$AT$9,0)),0)</f>
        <v>555393.74067333317</v>
      </c>
    </row>
    <row r="50" spans="1:15" x14ac:dyDescent="0.35">
      <c r="A50" s="219" t="s">
        <v>691</v>
      </c>
      <c r="B50" s="270">
        <v>70000</v>
      </c>
      <c r="C50" s="165">
        <f t="shared" si="3"/>
        <v>87500</v>
      </c>
      <c r="D50" s="165"/>
      <c r="E50" s="268" t="s">
        <v>748</v>
      </c>
      <c r="F50" s="270">
        <v>2000</v>
      </c>
      <c r="G50" s="188">
        <f>F50*1.25</f>
        <v>2500</v>
      </c>
      <c r="M50" t="s">
        <v>541</v>
      </c>
      <c r="N50">
        <v>3</v>
      </c>
      <c r="O50" s="229">
        <f>IFERROR(INDEX('tabla salarial'!$AS$4:$AS$9,MATCH(N50,'tabla salarial'!$AT$4:$AT$9,0)),0)</f>
        <v>371571.3297066667</v>
      </c>
    </row>
    <row r="51" spans="1:15" x14ac:dyDescent="0.35">
      <c r="A51" s="219" t="s">
        <v>692</v>
      </c>
      <c r="B51" s="270">
        <v>100000</v>
      </c>
      <c r="C51" s="165">
        <f t="shared" si="3"/>
        <v>125000</v>
      </c>
      <c r="D51" s="165"/>
      <c r="E51" s="186" t="s">
        <v>394</v>
      </c>
      <c r="F51" s="185">
        <v>1185900</v>
      </c>
      <c r="G51" s="185">
        <f>F51*1.25</f>
        <v>1482375</v>
      </c>
      <c r="M51" t="s">
        <v>615</v>
      </c>
      <c r="N51">
        <v>2</v>
      </c>
      <c r="O51" s="229">
        <f>IFERROR(INDEX('tabla salarial'!$AS$4:$AS$9,MATCH(N51,'tabla salarial'!$AT$4:$AT$9,0)),0)</f>
        <v>355821.87609999999</v>
      </c>
    </row>
    <row r="52" spans="1:15" ht="31" x14ac:dyDescent="0.35">
      <c r="A52" s="186" t="s">
        <v>469</v>
      </c>
      <c r="B52" s="185">
        <v>800</v>
      </c>
      <c r="C52" s="185">
        <f t="shared" si="3"/>
        <v>1000</v>
      </c>
      <c r="D52" s="165"/>
      <c r="E52" s="186" t="s">
        <v>401</v>
      </c>
      <c r="F52" s="185">
        <v>11500</v>
      </c>
      <c r="G52" s="185">
        <f>F52*1.25</f>
        <v>14375</v>
      </c>
      <c r="M52" t="s">
        <v>640</v>
      </c>
      <c r="N52">
        <v>6</v>
      </c>
      <c r="O52" s="229">
        <f>IFERROR(INDEX('tabla salarial'!$AS$4:$AS$9,MATCH(N52,'tabla salarial'!$AT$4:$AT$9,0)),0)</f>
        <v>555393.74067333317</v>
      </c>
    </row>
    <row r="53" spans="1:15" ht="31" x14ac:dyDescent="0.35">
      <c r="A53" s="219" t="s">
        <v>653</v>
      </c>
      <c r="B53" s="222">
        <v>40000</v>
      </c>
      <c r="C53" s="165">
        <f t="shared" si="3"/>
        <v>50000</v>
      </c>
      <c r="D53" s="165"/>
      <c r="E53" s="187" t="s">
        <v>740</v>
      </c>
      <c r="F53" s="270">
        <v>5500</v>
      </c>
      <c r="G53" s="188">
        <f>F53*1.25</f>
        <v>6875</v>
      </c>
      <c r="M53" t="s">
        <v>588</v>
      </c>
      <c r="N53">
        <v>5</v>
      </c>
      <c r="O53" s="229">
        <f>IFERROR(INDEX('tabla salarial'!$AS$4:$AS$9,MATCH(N53,'tabla salarial'!$AT$4:$AT$9,0)),0)</f>
        <v>443956.94156000001</v>
      </c>
    </row>
    <row r="54" spans="1:15" x14ac:dyDescent="0.35">
      <c r="A54" s="186" t="s">
        <v>325</v>
      </c>
      <c r="B54" s="185">
        <v>150000</v>
      </c>
      <c r="C54" s="185">
        <f t="shared" si="3"/>
        <v>187500</v>
      </c>
      <c r="D54" s="165"/>
      <c r="E54" s="268" t="s">
        <v>750</v>
      </c>
      <c r="F54" s="270">
        <v>5000</v>
      </c>
      <c r="G54" s="188">
        <f>F54*1.25</f>
        <v>6250</v>
      </c>
      <c r="M54" t="s">
        <v>624</v>
      </c>
      <c r="N54">
        <v>4</v>
      </c>
      <c r="O54" s="229">
        <f>IFERROR(INDEX('tabla salarial'!$AS$4:$AS$9,MATCH(N54,'tabla salarial'!$AT$4:$AT$9,0)),0)</f>
        <v>407197.80492666672</v>
      </c>
    </row>
    <row r="55" spans="1:15" x14ac:dyDescent="0.35">
      <c r="A55" s="269" t="s">
        <v>693</v>
      </c>
      <c r="B55" s="270">
        <v>25000</v>
      </c>
      <c r="C55" s="165">
        <f t="shared" si="3"/>
        <v>31250</v>
      </c>
      <c r="D55" s="165"/>
      <c r="E55" s="187" t="s">
        <v>741</v>
      </c>
      <c r="F55" s="270">
        <v>5500</v>
      </c>
      <c r="G55" s="188">
        <f>F55*1.25</f>
        <v>6875</v>
      </c>
      <c r="M55" t="s">
        <v>553</v>
      </c>
      <c r="N55">
        <v>4</v>
      </c>
      <c r="O55" s="229">
        <f>IFERROR(INDEX('tabla salarial'!$AS$4:$AS$9,MATCH(N55,'tabla salarial'!$AT$4:$AT$9,0)),0)</f>
        <v>407197.80492666672</v>
      </c>
    </row>
    <row r="56" spans="1:15" ht="31" x14ac:dyDescent="0.35">
      <c r="A56" s="186" t="s">
        <v>331</v>
      </c>
      <c r="B56" s="185">
        <v>700</v>
      </c>
      <c r="C56" s="185">
        <f t="shared" si="3"/>
        <v>875</v>
      </c>
      <c r="D56" s="165"/>
      <c r="E56" s="187" t="s">
        <v>739</v>
      </c>
      <c r="F56" s="270">
        <v>11500</v>
      </c>
      <c r="G56" s="188">
        <f>F56*1.25</f>
        <v>14375</v>
      </c>
      <c r="M56" t="s">
        <v>578</v>
      </c>
      <c r="N56">
        <v>5</v>
      </c>
      <c r="O56" s="229">
        <f>IFERROR(INDEX('tabla salarial'!$AS$4:$AS$9,MATCH(N56,'tabla salarial'!$AT$4:$AT$9,0)),0)</f>
        <v>443956.94156000001</v>
      </c>
    </row>
    <row r="57" spans="1:15" x14ac:dyDescent="0.35">
      <c r="A57" s="186" t="s">
        <v>329</v>
      </c>
      <c r="B57" s="185">
        <v>500</v>
      </c>
      <c r="C57" s="185">
        <f t="shared" si="3"/>
        <v>625</v>
      </c>
      <c r="D57" s="165"/>
      <c r="E57" s="268" t="s">
        <v>801</v>
      </c>
      <c r="F57" s="270">
        <v>22450</v>
      </c>
      <c r="G57" s="188">
        <f>F57*1.25</f>
        <v>28062.5</v>
      </c>
      <c r="M57" t="s">
        <v>605</v>
      </c>
      <c r="N57">
        <v>1</v>
      </c>
      <c r="O57" s="229">
        <f>IFERROR(INDEX('tabla salarial'!$AS$4:$AS$9,MATCH(N57,'tabla salarial'!$AT$4:$AT$9,0)),0)</f>
        <v>382109.06042666658</v>
      </c>
    </row>
    <row r="58" spans="1:15" ht="31" x14ac:dyDescent="0.35">
      <c r="A58" s="219" t="s">
        <v>502</v>
      </c>
      <c r="B58" s="222">
        <v>1000</v>
      </c>
      <c r="C58" s="165">
        <f t="shared" si="3"/>
        <v>1250</v>
      </c>
      <c r="D58" s="165"/>
      <c r="E58" s="187" t="s">
        <v>402</v>
      </c>
      <c r="F58" s="222">
        <v>62000</v>
      </c>
      <c r="G58" s="188">
        <f>F58*1.25</f>
        <v>77500</v>
      </c>
      <c r="M58" t="s">
        <v>592</v>
      </c>
      <c r="N58">
        <v>5</v>
      </c>
      <c r="O58" s="229">
        <f>IFERROR(INDEX('tabla salarial'!$AS$4:$AS$9,MATCH(N58,'tabla salarial'!$AT$4:$AT$9,0)),0)</f>
        <v>443956.94156000001</v>
      </c>
    </row>
    <row r="59" spans="1:15" x14ac:dyDescent="0.35">
      <c r="A59" s="186" t="s">
        <v>330</v>
      </c>
      <c r="B59" s="185">
        <v>500</v>
      </c>
      <c r="C59" s="185">
        <f t="shared" si="3"/>
        <v>625</v>
      </c>
      <c r="D59" s="165"/>
      <c r="E59" s="187" t="s">
        <v>804</v>
      </c>
      <c r="F59" s="265">
        <v>13450</v>
      </c>
      <c r="G59" s="188">
        <f>F59*1.25</f>
        <v>16812.5</v>
      </c>
      <c r="M59" t="s">
        <v>629</v>
      </c>
      <c r="N59">
        <v>5</v>
      </c>
      <c r="O59" s="229">
        <f>IFERROR(INDEX('tabla salarial'!$AS$4:$AS$9,MATCH(N59,'tabla salarial'!$AT$4:$AT$9,0)),0)</f>
        <v>443956.94156000001</v>
      </c>
    </row>
    <row r="60" spans="1:15" ht="31" x14ac:dyDescent="0.35">
      <c r="A60" s="219" t="s">
        <v>659</v>
      </c>
      <c r="B60" s="222">
        <v>3000</v>
      </c>
      <c r="C60" s="165">
        <f t="shared" si="3"/>
        <v>3750</v>
      </c>
      <c r="D60" s="165"/>
      <c r="E60" s="186" t="s">
        <v>422</v>
      </c>
      <c r="F60" s="223">
        <v>30000</v>
      </c>
      <c r="G60" s="185">
        <f>F60*1.25</f>
        <v>37500</v>
      </c>
      <c r="M60" t="s">
        <v>520</v>
      </c>
      <c r="N60">
        <v>2</v>
      </c>
      <c r="O60" s="229">
        <f>IFERROR(INDEX('tabla salarial'!$AS$4:$AS$9,MATCH(N60,'tabla salarial'!$AT$4:$AT$9,0)),0)</f>
        <v>355821.87609999999</v>
      </c>
    </row>
    <row r="61" spans="1:15" x14ac:dyDescent="0.35">
      <c r="A61" s="269" t="s">
        <v>688</v>
      </c>
      <c r="B61" s="270">
        <v>50000</v>
      </c>
      <c r="C61" s="165">
        <f t="shared" si="3"/>
        <v>62500</v>
      </c>
      <c r="D61" s="165"/>
      <c r="E61" s="186" t="s">
        <v>421</v>
      </c>
      <c r="F61" s="223">
        <v>25000</v>
      </c>
      <c r="G61" s="185">
        <f>F61*1.25</f>
        <v>31250</v>
      </c>
      <c r="M61" t="s">
        <v>521</v>
      </c>
      <c r="N61">
        <v>2</v>
      </c>
      <c r="O61" s="229">
        <f>IFERROR(INDEX('tabla salarial'!$AS$4:$AS$9,MATCH(N61,'tabla salarial'!$AT$4:$AT$9,0)),0)</f>
        <v>355821.87609999999</v>
      </c>
    </row>
    <row r="62" spans="1:15" x14ac:dyDescent="0.35">
      <c r="A62" s="219" t="s">
        <v>486</v>
      </c>
      <c r="B62" s="222"/>
      <c r="C62" s="165">
        <f t="shared" si="3"/>
        <v>0</v>
      </c>
      <c r="D62" s="165"/>
      <c r="E62" s="186" t="s">
        <v>354</v>
      </c>
      <c r="F62" s="221">
        <v>100000</v>
      </c>
      <c r="G62" s="185">
        <f>F62*1.25</f>
        <v>125000</v>
      </c>
      <c r="M62" t="s">
        <v>535</v>
      </c>
      <c r="N62">
        <v>3</v>
      </c>
      <c r="O62" s="229">
        <f>IFERROR(INDEX('tabla salarial'!$AS$4:$AS$9,MATCH(N62,'tabla salarial'!$AT$4:$AT$9,0)),0)</f>
        <v>371571.3297066667</v>
      </c>
    </row>
    <row r="63" spans="1:15" x14ac:dyDescent="0.35">
      <c r="A63" s="186" t="s">
        <v>238</v>
      </c>
      <c r="B63" s="185"/>
      <c r="C63" s="185">
        <f t="shared" si="3"/>
        <v>0</v>
      </c>
      <c r="D63" s="165"/>
      <c r="E63" s="187" t="s">
        <v>675</v>
      </c>
      <c r="F63" s="192">
        <v>8000</v>
      </c>
      <c r="G63" s="188">
        <f>F63*1.25</f>
        <v>10000</v>
      </c>
      <c r="M63" t="s">
        <v>510</v>
      </c>
      <c r="N63">
        <v>1</v>
      </c>
      <c r="O63" s="229">
        <f>IFERROR(INDEX('tabla salarial'!$AS$4:$AS$9,MATCH(N63,'tabla salarial'!$AT$4:$AT$9,0)),0)</f>
        <v>382109.06042666658</v>
      </c>
    </row>
    <row r="64" spans="1:15" x14ac:dyDescent="0.35">
      <c r="A64" s="186" t="s">
        <v>335</v>
      </c>
      <c r="B64" s="185">
        <v>500000</v>
      </c>
      <c r="C64" s="185">
        <f t="shared" si="3"/>
        <v>625000</v>
      </c>
      <c r="D64" s="165"/>
      <c r="E64" s="186" t="s">
        <v>379</v>
      </c>
      <c r="F64" s="223">
        <v>100000</v>
      </c>
      <c r="G64" s="185">
        <f>F64*1.25</f>
        <v>125000</v>
      </c>
      <c r="M64" t="s">
        <v>517</v>
      </c>
      <c r="N64">
        <v>2</v>
      </c>
      <c r="O64" s="229">
        <f>IFERROR(INDEX('tabla salarial'!$AS$4:$AS$9,MATCH(N64,'tabla salarial'!$AT$4:$AT$9,0)),0)</f>
        <v>355821.87609999999</v>
      </c>
    </row>
    <row r="65" spans="1:15" x14ac:dyDescent="0.35">
      <c r="A65" s="269" t="s">
        <v>689</v>
      </c>
      <c r="B65" s="270">
        <v>50000</v>
      </c>
      <c r="C65" s="165">
        <f t="shared" si="3"/>
        <v>62500</v>
      </c>
      <c r="D65" s="165"/>
      <c r="E65" s="187" t="s">
        <v>464</v>
      </c>
      <c r="F65" s="192">
        <v>805421</v>
      </c>
      <c r="G65" s="188">
        <f>F65*1.25</f>
        <v>1006776.25</v>
      </c>
      <c r="M65" t="s">
        <v>534</v>
      </c>
      <c r="N65">
        <v>3</v>
      </c>
      <c r="O65" s="229">
        <f>IFERROR(INDEX('tabla salarial'!$AS$4:$AS$9,MATCH(N65,'tabla salarial'!$AT$4:$AT$9,0)),0)</f>
        <v>371571.3297066667</v>
      </c>
    </row>
    <row r="66" spans="1:15" x14ac:dyDescent="0.35">
      <c r="A66" s="269" t="s">
        <v>763</v>
      </c>
      <c r="B66" s="270">
        <v>25000</v>
      </c>
      <c r="C66" s="165">
        <f t="shared" ref="C66:C97" si="4">B66*1.25</f>
        <v>31250</v>
      </c>
      <c r="D66" s="165"/>
      <c r="E66" s="187" t="s">
        <v>499</v>
      </c>
      <c r="F66" s="192">
        <v>22000</v>
      </c>
      <c r="G66" s="188">
        <f>F66*1.25</f>
        <v>27500</v>
      </c>
      <c r="M66" t="s">
        <v>519</v>
      </c>
      <c r="N66">
        <v>2</v>
      </c>
      <c r="O66" s="229">
        <f>IFERROR(INDEX('tabla salarial'!$AS$4:$AS$9,MATCH(N66,'tabla salarial'!$AT$4:$AT$9,0)),0)</f>
        <v>355821.87609999999</v>
      </c>
    </row>
    <row r="67" spans="1:15" x14ac:dyDescent="0.35">
      <c r="A67" s="219" t="s">
        <v>648</v>
      </c>
      <c r="B67" s="222">
        <v>12500</v>
      </c>
      <c r="C67" s="165">
        <f t="shared" si="4"/>
        <v>15625</v>
      </c>
      <c r="D67" s="165"/>
      <c r="E67" s="187" t="s">
        <v>465</v>
      </c>
      <c r="F67" s="192">
        <v>114000</v>
      </c>
      <c r="G67" s="188">
        <f>F67*1.25</f>
        <v>142500</v>
      </c>
      <c r="M67" t="s">
        <v>533</v>
      </c>
      <c r="N67">
        <v>3</v>
      </c>
      <c r="O67" s="229">
        <f>IFERROR(INDEX('tabla salarial'!$AS$4:$AS$9,MATCH(N67,'tabla salarial'!$AT$4:$AT$9,0)),0)</f>
        <v>371571.3297066667</v>
      </c>
    </row>
    <row r="68" spans="1:15" x14ac:dyDescent="0.35">
      <c r="A68" s="186" t="s">
        <v>434</v>
      </c>
      <c r="B68" s="185">
        <v>1000</v>
      </c>
      <c r="C68" s="185">
        <f t="shared" si="4"/>
        <v>1250</v>
      </c>
      <c r="D68" s="165"/>
      <c r="E68" s="187" t="s">
        <v>474</v>
      </c>
      <c r="F68" s="192">
        <v>160000</v>
      </c>
      <c r="G68" s="188">
        <f>F68*1.25</f>
        <v>200000</v>
      </c>
      <c r="M68" t="s">
        <v>555</v>
      </c>
      <c r="N68">
        <v>4</v>
      </c>
      <c r="O68" s="229">
        <f>IFERROR(INDEX('tabla salarial'!$AS$4:$AS$9,MATCH(N68,'tabla salarial'!$AT$4:$AT$9,0)),0)</f>
        <v>407197.80492666672</v>
      </c>
    </row>
    <row r="69" spans="1:15" x14ac:dyDescent="0.35">
      <c r="A69" s="186" t="s">
        <v>417</v>
      </c>
      <c r="B69" s="185">
        <v>20000</v>
      </c>
      <c r="C69" s="185">
        <f t="shared" si="4"/>
        <v>25000</v>
      </c>
      <c r="E69" s="187" t="s">
        <v>471</v>
      </c>
      <c r="F69" s="192">
        <v>4300</v>
      </c>
      <c r="G69" s="188">
        <f>F69*1.25</f>
        <v>5375</v>
      </c>
      <c r="M69" t="s">
        <v>582</v>
      </c>
      <c r="N69">
        <v>5</v>
      </c>
      <c r="O69" s="229">
        <f>IFERROR(INDEX('tabla salarial'!$AS$4:$AS$9,MATCH(N69,'tabla salarial'!$AT$4:$AT$9,0)),0)</f>
        <v>443956.94156000001</v>
      </c>
    </row>
    <row r="70" spans="1:15" x14ac:dyDescent="0.35">
      <c r="A70" s="186" t="s">
        <v>374</v>
      </c>
      <c r="B70" s="185">
        <v>1000</v>
      </c>
      <c r="C70" s="185">
        <f t="shared" si="4"/>
        <v>1250</v>
      </c>
      <c r="E70" s="186" t="s">
        <v>262</v>
      </c>
      <c r="F70" s="221">
        <v>15900</v>
      </c>
      <c r="G70" s="185">
        <f>F70*1.25</f>
        <v>19875</v>
      </c>
      <c r="M70" t="s">
        <v>532</v>
      </c>
      <c r="N70">
        <v>3</v>
      </c>
      <c r="O70" s="229">
        <f>IFERROR(INDEX('tabla salarial'!$AS$4:$AS$9,MATCH(N70,'tabla salarial'!$AT$4:$AT$9,0)),0)</f>
        <v>371571.3297066667</v>
      </c>
    </row>
    <row r="71" spans="1:15" x14ac:dyDescent="0.35">
      <c r="A71" s="269" t="s">
        <v>699</v>
      </c>
      <c r="B71" s="270">
        <v>5000</v>
      </c>
      <c r="C71" s="165">
        <f t="shared" si="4"/>
        <v>6250</v>
      </c>
      <c r="E71" s="187" t="s">
        <v>755</v>
      </c>
      <c r="F71" s="267">
        <v>40000</v>
      </c>
      <c r="G71" s="185">
        <f>F71*1.25</f>
        <v>50000</v>
      </c>
      <c r="M71" t="s">
        <v>608</v>
      </c>
      <c r="N71">
        <v>1</v>
      </c>
      <c r="O71" s="229">
        <f>IFERROR(INDEX('tabla salarial'!$AS$4:$AS$9,MATCH(N71,'tabla salarial'!$AT$4:$AT$9,0)),0)</f>
        <v>382109.06042666658</v>
      </c>
    </row>
    <row r="72" spans="1:15" x14ac:dyDescent="0.35">
      <c r="A72" s="219" t="s">
        <v>700</v>
      </c>
      <c r="B72" s="270">
        <v>5000</v>
      </c>
      <c r="C72" s="165">
        <f t="shared" si="4"/>
        <v>6250</v>
      </c>
      <c r="E72" s="187" t="s">
        <v>754</v>
      </c>
      <c r="F72" s="267">
        <v>35000</v>
      </c>
      <c r="G72" s="188">
        <f>F72*1.25</f>
        <v>43750</v>
      </c>
      <c r="M72" t="s">
        <v>603</v>
      </c>
      <c r="N72">
        <v>1</v>
      </c>
      <c r="O72" s="229">
        <f>IFERROR(INDEX('tabla salarial'!$AS$4:$AS$9,MATCH(N72,'tabla salarial'!$AT$4:$AT$9,0)),0)</f>
        <v>382109.06042666658</v>
      </c>
    </row>
    <row r="73" spans="1:15" x14ac:dyDescent="0.35">
      <c r="A73" s="186" t="s">
        <v>303</v>
      </c>
      <c r="B73" s="185">
        <v>40000</v>
      </c>
      <c r="C73" s="185">
        <f t="shared" si="4"/>
        <v>50000</v>
      </c>
      <c r="E73" s="268" t="s">
        <v>802</v>
      </c>
      <c r="F73" s="267">
        <v>10750</v>
      </c>
      <c r="G73" s="188">
        <f>F73*1.25</f>
        <v>13437.5</v>
      </c>
      <c r="M73" t="s">
        <v>558</v>
      </c>
      <c r="N73">
        <v>4</v>
      </c>
      <c r="O73" s="229">
        <f>IFERROR(INDEX('tabla salarial'!$AS$4:$AS$9,MATCH(N73,'tabla salarial'!$AT$4:$AT$9,0)),0)</f>
        <v>407197.80492666672</v>
      </c>
    </row>
    <row r="74" spans="1:15" ht="31" x14ac:dyDescent="0.35">
      <c r="A74" s="219" t="s">
        <v>481</v>
      </c>
      <c r="B74" s="222"/>
      <c r="C74" s="165">
        <f t="shared" si="4"/>
        <v>0</v>
      </c>
      <c r="E74" s="268" t="s">
        <v>802</v>
      </c>
      <c r="F74" s="267"/>
      <c r="G74" s="188">
        <f>F74*1.25</f>
        <v>0</v>
      </c>
      <c r="M74" t="s">
        <v>585</v>
      </c>
      <c r="N74">
        <v>5</v>
      </c>
      <c r="O74" s="229">
        <f>IFERROR(INDEX('tabla salarial'!$AS$4:$AS$9,MATCH(N74,'tabla salarial'!$AT$4:$AT$9,0)),0)</f>
        <v>443956.94156000001</v>
      </c>
    </row>
    <row r="75" spans="1:15" ht="31" x14ac:dyDescent="0.35">
      <c r="A75" s="186" t="s">
        <v>328</v>
      </c>
      <c r="B75" s="185">
        <v>1108</v>
      </c>
      <c r="C75" s="185">
        <f t="shared" si="4"/>
        <v>1385</v>
      </c>
      <c r="E75" s="186" t="s">
        <v>423</v>
      </c>
      <c r="F75" s="221">
        <v>64000</v>
      </c>
      <c r="G75" s="185">
        <f>F75*1.25</f>
        <v>80000</v>
      </c>
      <c r="M75" t="s">
        <v>511</v>
      </c>
      <c r="N75">
        <v>1</v>
      </c>
      <c r="O75" s="229">
        <f>IFERROR(INDEX('tabla salarial'!$AS$4:$AS$9,MATCH(N75,'tabla salarial'!$AT$4:$AT$9,0)),0)</f>
        <v>382109.06042666658</v>
      </c>
    </row>
    <row r="76" spans="1:15" x14ac:dyDescent="0.35">
      <c r="A76" s="186" t="s">
        <v>393</v>
      </c>
      <c r="B76" s="185">
        <v>15000</v>
      </c>
      <c r="C76" s="185">
        <f t="shared" si="4"/>
        <v>18750</v>
      </c>
      <c r="E76" s="187" t="s">
        <v>399</v>
      </c>
      <c r="F76" s="192">
        <v>33200</v>
      </c>
      <c r="G76" s="188">
        <f>F76*1.25</f>
        <v>41500</v>
      </c>
      <c r="M76" t="s">
        <v>511</v>
      </c>
      <c r="N76">
        <v>1</v>
      </c>
      <c r="O76" s="229">
        <f>IFERROR(INDEX('tabla salarial'!$AS$4:$AS$9,MATCH(N76,'tabla salarial'!$AT$4:$AT$9,0)),0)</f>
        <v>382109.06042666658</v>
      </c>
    </row>
    <row r="77" spans="1:15" x14ac:dyDescent="0.35">
      <c r="A77" s="186" t="s">
        <v>313</v>
      </c>
      <c r="B77" s="185">
        <v>1500</v>
      </c>
      <c r="C77" s="185">
        <f t="shared" si="4"/>
        <v>1875</v>
      </c>
      <c r="E77" s="187" t="s">
        <v>679</v>
      </c>
      <c r="F77" s="192">
        <v>15000</v>
      </c>
      <c r="G77" s="188">
        <f>F77*1.25</f>
        <v>18750</v>
      </c>
      <c r="M77" t="s">
        <v>606</v>
      </c>
      <c r="N77">
        <v>1</v>
      </c>
      <c r="O77" s="229">
        <f>IFERROR(INDEX('tabla salarial'!$AS$4:$AS$9,MATCH(N77,'tabla salarial'!$AT$4:$AT$9,0)),0)</f>
        <v>382109.06042666658</v>
      </c>
    </row>
    <row r="78" spans="1:15" x14ac:dyDescent="0.35">
      <c r="A78" s="219" t="s">
        <v>654</v>
      </c>
      <c r="B78" s="222">
        <v>15000</v>
      </c>
      <c r="C78" s="165">
        <f t="shared" si="4"/>
        <v>18750</v>
      </c>
      <c r="E78" s="187" t="s">
        <v>684</v>
      </c>
      <c r="F78" s="192">
        <v>1000</v>
      </c>
      <c r="G78" s="188">
        <f>F78*1.25</f>
        <v>1250</v>
      </c>
      <c r="M78" t="s">
        <v>610</v>
      </c>
      <c r="N78">
        <v>2</v>
      </c>
      <c r="O78" s="229">
        <f>IFERROR(INDEX('tabla salarial'!$AS$4:$AS$9,MATCH(N78,'tabla salarial'!$AT$4:$AT$9,0)),0)</f>
        <v>355821.87609999999</v>
      </c>
    </row>
    <row r="79" spans="1:15" x14ac:dyDescent="0.35">
      <c r="A79" s="186" t="s">
        <v>432</v>
      </c>
      <c r="B79" s="185">
        <v>500</v>
      </c>
      <c r="C79" s="185">
        <f t="shared" si="4"/>
        <v>625</v>
      </c>
      <c r="E79" s="186" t="s">
        <v>358</v>
      </c>
      <c r="F79" s="221">
        <v>450000</v>
      </c>
      <c r="G79" s="185">
        <f>F79*1.25</f>
        <v>562500</v>
      </c>
      <c r="M79" t="s">
        <v>600</v>
      </c>
      <c r="N79">
        <v>1</v>
      </c>
      <c r="O79" s="229">
        <f>IFERROR(INDEX('tabla salarial'!$AS$4:$AS$9,MATCH(N79,'tabla salarial'!$AT$4:$AT$9,0)),0)</f>
        <v>382109.06042666658</v>
      </c>
    </row>
    <row r="80" spans="1:15" x14ac:dyDescent="0.35">
      <c r="A80" s="269" t="s">
        <v>738</v>
      </c>
      <c r="B80" s="270">
        <v>2500</v>
      </c>
      <c r="C80" s="165">
        <f t="shared" si="4"/>
        <v>3125</v>
      </c>
      <c r="E80" s="187" t="s">
        <v>633</v>
      </c>
      <c r="F80" s="192">
        <v>6500</v>
      </c>
      <c r="G80" s="188">
        <f>F80*1.25</f>
        <v>8125</v>
      </c>
      <c r="M80" t="s">
        <v>644</v>
      </c>
      <c r="N80">
        <v>3</v>
      </c>
      <c r="O80" s="229">
        <f>IFERROR(INDEX('tabla salarial'!$AS$4:$AS$9,MATCH(N80,'tabla salarial'!$AT$4:$AT$9,0)),0)</f>
        <v>371571.3297066667</v>
      </c>
    </row>
    <row r="81" spans="1:15" x14ac:dyDescent="0.35">
      <c r="A81" s="186" t="s">
        <v>312</v>
      </c>
      <c r="B81" s="185">
        <v>100000</v>
      </c>
      <c r="C81" s="185">
        <f t="shared" si="4"/>
        <v>125000</v>
      </c>
      <c r="E81" s="187" t="s">
        <v>663</v>
      </c>
      <c r="F81" s="192">
        <v>1500</v>
      </c>
      <c r="G81" s="188">
        <f>F81*1.25</f>
        <v>1875</v>
      </c>
      <c r="M81" t="s">
        <v>619</v>
      </c>
      <c r="N81">
        <v>4</v>
      </c>
      <c r="O81" s="229">
        <f>IFERROR(INDEX('tabla salarial'!$AS$4:$AS$9,MATCH(N81,'tabla salarial'!$AT$4:$AT$9,0)),0)</f>
        <v>407197.80492666672</v>
      </c>
    </row>
    <row r="82" spans="1:15" x14ac:dyDescent="0.35">
      <c r="A82" s="219" t="s">
        <v>759</v>
      </c>
      <c r="B82" s="270">
        <v>2000</v>
      </c>
      <c r="C82" s="165">
        <f t="shared" si="4"/>
        <v>2500</v>
      </c>
      <c r="E82" s="187" t="s">
        <v>746</v>
      </c>
      <c r="F82" s="267">
        <v>1000</v>
      </c>
      <c r="G82" s="185">
        <f>F82*1.25</f>
        <v>1250</v>
      </c>
      <c r="M82" t="s">
        <v>581</v>
      </c>
      <c r="N82">
        <v>5</v>
      </c>
      <c r="O82" s="229">
        <f>IFERROR(INDEX('tabla salarial'!$AS$4:$AS$9,MATCH(N82,'tabla salarial'!$AT$4:$AT$9,0)),0)</f>
        <v>443956.94156000001</v>
      </c>
    </row>
    <row r="83" spans="1:15" x14ac:dyDescent="0.35">
      <c r="A83" s="219" t="s">
        <v>760</v>
      </c>
      <c r="B83" s="270">
        <v>3000</v>
      </c>
      <c r="C83" s="165">
        <f t="shared" si="4"/>
        <v>3750</v>
      </c>
      <c r="E83" s="187" t="s">
        <v>747</v>
      </c>
      <c r="F83" s="267">
        <v>1000</v>
      </c>
      <c r="G83" s="185">
        <f>F83*1.25</f>
        <v>1250</v>
      </c>
      <c r="M83" t="s">
        <v>627</v>
      </c>
      <c r="N83">
        <v>4</v>
      </c>
      <c r="O83" s="229">
        <f>IFERROR(INDEX('tabla salarial'!$AS$4:$AS$9,MATCH(N83,'tabla salarial'!$AT$4:$AT$9,0)),0)</f>
        <v>407197.80492666672</v>
      </c>
    </row>
    <row r="84" spans="1:15" x14ac:dyDescent="0.35">
      <c r="A84" s="219" t="s">
        <v>761</v>
      </c>
      <c r="B84" s="270">
        <v>4000</v>
      </c>
      <c r="C84" s="165">
        <f t="shared" si="4"/>
        <v>5000</v>
      </c>
      <c r="E84" s="268" t="s">
        <v>764</v>
      </c>
      <c r="F84" s="267">
        <v>18000</v>
      </c>
      <c r="G84" s="188">
        <f>F84*1.25</f>
        <v>22500</v>
      </c>
      <c r="M84" t="s">
        <v>595</v>
      </c>
      <c r="N84">
        <v>6</v>
      </c>
      <c r="O84" s="229">
        <f>IFERROR(INDEX('tabla salarial'!$AS$4:$AS$9,MATCH(N84,'tabla salarial'!$AT$4:$AT$9,0)),0)</f>
        <v>555393.74067333317</v>
      </c>
    </row>
    <row r="85" spans="1:15" x14ac:dyDescent="0.35">
      <c r="A85" s="219" t="s">
        <v>762</v>
      </c>
      <c r="B85" s="270">
        <v>6000</v>
      </c>
      <c r="C85" s="165">
        <f t="shared" si="4"/>
        <v>7500</v>
      </c>
      <c r="E85" s="187" t="s">
        <v>505</v>
      </c>
      <c r="F85" s="192">
        <v>40000</v>
      </c>
      <c r="G85" s="188">
        <f>F85*1.25</f>
        <v>50000</v>
      </c>
      <c r="M85" t="s">
        <v>536</v>
      </c>
      <c r="N85">
        <v>3</v>
      </c>
      <c r="O85" s="229">
        <f>IFERROR(INDEX('tabla salarial'!$AS$4:$AS$9,MATCH(N85,'tabla salarial'!$AT$4:$AT$9,0)),0)</f>
        <v>371571.3297066667</v>
      </c>
    </row>
    <row r="86" spans="1:15" x14ac:dyDescent="0.35">
      <c r="A86" s="219" t="s">
        <v>482</v>
      </c>
      <c r="B86" s="222">
        <v>5000</v>
      </c>
      <c r="C86" s="165">
        <f t="shared" si="4"/>
        <v>6250</v>
      </c>
      <c r="E86" s="186" t="s">
        <v>254</v>
      </c>
      <c r="F86" s="221">
        <v>20000</v>
      </c>
      <c r="G86" s="185">
        <f>F86*1.25</f>
        <v>25000</v>
      </c>
      <c r="M86" t="s">
        <v>580</v>
      </c>
      <c r="N86">
        <v>5</v>
      </c>
      <c r="O86" s="229">
        <f>IFERROR(INDEX('tabla salarial'!$AS$4:$AS$9,MATCH(N86,'tabla salarial'!$AT$4:$AT$9,0)),0)</f>
        <v>443956.94156000001</v>
      </c>
    </row>
    <row r="87" spans="1:15" x14ac:dyDescent="0.35">
      <c r="A87" s="219" t="s">
        <v>731</v>
      </c>
      <c r="B87" s="270">
        <v>30000</v>
      </c>
      <c r="C87" s="165">
        <f t="shared" si="4"/>
        <v>37500</v>
      </c>
      <c r="E87" s="186" t="s">
        <v>253</v>
      </c>
      <c r="F87" s="221">
        <v>35000</v>
      </c>
      <c r="G87" s="185">
        <f>F87*1.25</f>
        <v>43750</v>
      </c>
      <c r="M87" t="s">
        <v>554</v>
      </c>
      <c r="N87">
        <v>4</v>
      </c>
      <c r="O87" s="229">
        <f>IFERROR(INDEX('tabla salarial'!$AS$4:$AS$9,MATCH(N87,'tabla salarial'!$AT$4:$AT$9,0)),0)</f>
        <v>407197.80492666672</v>
      </c>
    </row>
    <row r="88" spans="1:15" x14ac:dyDescent="0.35">
      <c r="A88" s="186" t="s">
        <v>224</v>
      </c>
      <c r="B88" s="185">
        <v>1500</v>
      </c>
      <c r="C88" s="185">
        <f t="shared" si="4"/>
        <v>1875</v>
      </c>
      <c r="E88" s="186" t="s">
        <v>350</v>
      </c>
      <c r="F88" s="221">
        <v>15400</v>
      </c>
      <c r="G88" s="185">
        <f>F88*1.25</f>
        <v>19250</v>
      </c>
      <c r="M88" t="s">
        <v>539</v>
      </c>
      <c r="N88">
        <v>3</v>
      </c>
      <c r="O88" s="229">
        <f>IFERROR(INDEX('tabla salarial'!$AS$4:$AS$9,MATCH(N88,'tabla salarial'!$AT$4:$AT$9,0)),0)</f>
        <v>371571.3297066667</v>
      </c>
    </row>
    <row r="89" spans="1:15" x14ac:dyDescent="0.35">
      <c r="A89" s="219" t="s">
        <v>729</v>
      </c>
      <c r="B89" s="270">
        <v>50000</v>
      </c>
      <c r="C89" s="165">
        <f t="shared" si="4"/>
        <v>62500</v>
      </c>
      <c r="E89" s="186" t="s">
        <v>351</v>
      </c>
      <c r="F89" s="221">
        <v>15400</v>
      </c>
      <c r="G89" s="185">
        <f>F89*1.25</f>
        <v>19250</v>
      </c>
      <c r="M89" t="s">
        <v>527</v>
      </c>
      <c r="N89">
        <v>2</v>
      </c>
      <c r="O89" s="229">
        <f>IFERROR(INDEX('tabla salarial'!$AS$4:$AS$9,MATCH(N89,'tabla salarial'!$AT$4:$AT$9,0)),0)</f>
        <v>355821.87609999999</v>
      </c>
    </row>
    <row r="90" spans="1:15" x14ac:dyDescent="0.35">
      <c r="A90" s="219" t="s">
        <v>730</v>
      </c>
      <c r="B90" s="270">
        <v>25000</v>
      </c>
      <c r="C90" s="165">
        <f t="shared" si="4"/>
        <v>31250</v>
      </c>
      <c r="E90" s="268" t="s">
        <v>791</v>
      </c>
      <c r="F90" s="267">
        <v>25000</v>
      </c>
      <c r="G90" s="188">
        <f>F90*1.25</f>
        <v>31250</v>
      </c>
      <c r="M90" t="s">
        <v>574</v>
      </c>
      <c r="N90">
        <v>4</v>
      </c>
      <c r="O90" s="229">
        <f>IFERROR(INDEX('tabla salarial'!$AS$4:$AS$9,MATCH(N90,'tabla salarial'!$AT$4:$AT$9,0)),0)</f>
        <v>407197.80492666672</v>
      </c>
    </row>
    <row r="91" spans="1:15" x14ac:dyDescent="0.35">
      <c r="A91" s="269" t="s">
        <v>734</v>
      </c>
      <c r="B91" s="270">
        <v>40000</v>
      </c>
      <c r="C91" s="165">
        <f t="shared" si="4"/>
        <v>50000</v>
      </c>
      <c r="E91" s="187" t="s">
        <v>488</v>
      </c>
      <c r="F91" s="192">
        <v>123700</v>
      </c>
      <c r="G91" s="188">
        <f>F91*1.25</f>
        <v>154625</v>
      </c>
      <c r="M91" t="s">
        <v>565</v>
      </c>
      <c r="N91">
        <v>4</v>
      </c>
      <c r="O91" s="229">
        <f>IFERROR(INDEX('tabla salarial'!$AS$4:$AS$9,MATCH(N91,'tabla salarial'!$AT$4:$AT$9,0)),0)</f>
        <v>407197.80492666672</v>
      </c>
    </row>
    <row r="92" spans="1:15" x14ac:dyDescent="0.35">
      <c r="A92" s="269" t="s">
        <v>716</v>
      </c>
      <c r="B92" s="270">
        <v>3500</v>
      </c>
      <c r="C92" s="165">
        <f t="shared" si="4"/>
        <v>4375</v>
      </c>
      <c r="E92" s="187" t="s">
        <v>495</v>
      </c>
      <c r="F92" s="192">
        <v>195000</v>
      </c>
      <c r="G92" s="188">
        <f>F92*1.25</f>
        <v>243750</v>
      </c>
      <c r="M92" t="s">
        <v>571</v>
      </c>
      <c r="N92">
        <v>4</v>
      </c>
      <c r="O92" s="229">
        <f>IFERROR(INDEX('tabla salarial'!$AS$4:$AS$9,MATCH(N92,'tabla salarial'!$AT$4:$AT$9,0)),0)</f>
        <v>407197.80492666672</v>
      </c>
    </row>
    <row r="93" spans="1:15" x14ac:dyDescent="0.35">
      <c r="A93" s="219" t="s">
        <v>715</v>
      </c>
      <c r="B93" s="270">
        <v>3500</v>
      </c>
      <c r="C93" s="165">
        <f t="shared" si="4"/>
        <v>4375</v>
      </c>
      <c r="E93" s="187" t="s">
        <v>444</v>
      </c>
      <c r="F93" s="192">
        <v>33400</v>
      </c>
      <c r="G93" s="188">
        <f>F93*1.25</f>
        <v>41750</v>
      </c>
      <c r="M93" t="s">
        <v>573</v>
      </c>
      <c r="N93">
        <v>4</v>
      </c>
      <c r="O93" s="229">
        <f>IFERROR(INDEX('tabla salarial'!$AS$4:$AS$9,MATCH(N93,'tabla salarial'!$AT$4:$AT$9,0)),0)</f>
        <v>407197.80492666672</v>
      </c>
    </row>
    <row r="94" spans="1:15" x14ac:dyDescent="0.35">
      <c r="A94" s="269" t="s">
        <v>713</v>
      </c>
      <c r="B94" s="270">
        <v>20000</v>
      </c>
      <c r="C94" s="165">
        <f t="shared" si="4"/>
        <v>25000</v>
      </c>
      <c r="E94" s="187" t="s">
        <v>446</v>
      </c>
      <c r="F94" s="192">
        <v>155000</v>
      </c>
      <c r="G94" s="188">
        <f>F94*1.25</f>
        <v>193750</v>
      </c>
      <c r="M94" t="s">
        <v>567</v>
      </c>
      <c r="N94">
        <v>4</v>
      </c>
      <c r="O94" s="229">
        <f>IFERROR(INDEX('tabla salarial'!$AS$4:$AS$9,MATCH(N94,'tabla salarial'!$AT$4:$AT$9,0)),0)</f>
        <v>407197.80492666672</v>
      </c>
    </row>
    <row r="95" spans="1:15" x14ac:dyDescent="0.35">
      <c r="A95" s="269" t="s">
        <v>727</v>
      </c>
      <c r="B95" s="270">
        <v>50000</v>
      </c>
      <c r="C95" s="165">
        <f t="shared" si="4"/>
        <v>62500</v>
      </c>
      <c r="E95" s="186" t="s">
        <v>355</v>
      </c>
      <c r="F95" s="221">
        <v>2500</v>
      </c>
      <c r="G95" s="185">
        <f>F95*1.25</f>
        <v>3125</v>
      </c>
      <c r="M95" t="s">
        <v>569</v>
      </c>
      <c r="N95">
        <v>4</v>
      </c>
      <c r="O95" s="229">
        <f>IFERROR(INDEX('tabla salarial'!$AS$4:$AS$9,MATCH(N95,'tabla salarial'!$AT$4:$AT$9,0)),0)</f>
        <v>407197.80492666672</v>
      </c>
    </row>
    <row r="96" spans="1:15" x14ac:dyDescent="0.35">
      <c r="A96" s="219" t="s">
        <v>651</v>
      </c>
      <c r="B96" s="222">
        <v>40000</v>
      </c>
      <c r="C96" s="165">
        <f t="shared" si="4"/>
        <v>50000</v>
      </c>
      <c r="E96" s="186" t="s">
        <v>352</v>
      </c>
      <c r="F96" s="221">
        <v>2850</v>
      </c>
      <c r="G96" s="185">
        <f>F96*1.25</f>
        <v>3562.5</v>
      </c>
      <c r="M96" t="s">
        <v>562</v>
      </c>
      <c r="N96">
        <v>4</v>
      </c>
      <c r="O96" s="229">
        <f>IFERROR(INDEX('tabla salarial'!$AS$4:$AS$9,MATCH(N96,'tabla salarial'!$AT$4:$AT$9,0)),0)</f>
        <v>407197.80492666672</v>
      </c>
    </row>
    <row r="97" spans="1:15" ht="31" x14ac:dyDescent="0.35">
      <c r="A97" s="266" t="s">
        <v>719</v>
      </c>
      <c r="B97" s="267">
        <v>4000</v>
      </c>
      <c r="C97" s="165">
        <f t="shared" si="4"/>
        <v>5000</v>
      </c>
      <c r="E97" s="186" t="s">
        <v>413</v>
      </c>
      <c r="F97" s="221">
        <v>75000</v>
      </c>
      <c r="G97" s="185">
        <f>F97*1.25</f>
        <v>93750</v>
      </c>
      <c r="M97" t="s">
        <v>598</v>
      </c>
      <c r="N97">
        <v>6</v>
      </c>
      <c r="O97" s="229">
        <f>IFERROR(INDEX('tabla salarial'!$AS$4:$AS$9,MATCH(N97,'tabla salarial'!$AT$4:$AT$9,0)),0)</f>
        <v>555393.74067333317</v>
      </c>
    </row>
    <row r="98" spans="1:15" ht="31" x14ac:dyDescent="0.35">
      <c r="A98" s="220" t="s">
        <v>300</v>
      </c>
      <c r="B98" s="221">
        <v>700</v>
      </c>
      <c r="C98" s="185">
        <f t="shared" ref="C98:C129" si="5">B98*1.25</f>
        <v>875</v>
      </c>
      <c r="E98" s="186" t="s">
        <v>309</v>
      </c>
      <c r="F98" s="221">
        <v>56327</v>
      </c>
      <c r="G98" s="185">
        <f>F98*1.25</f>
        <v>70408.75</v>
      </c>
      <c r="M98" t="s">
        <v>568</v>
      </c>
      <c r="N98">
        <v>4</v>
      </c>
      <c r="O98" s="229">
        <f>IFERROR(INDEX('tabla salarial'!$AS$4:$AS$9,MATCH(N98,'tabla salarial'!$AT$4:$AT$9,0)),0)</f>
        <v>407197.80492666672</v>
      </c>
    </row>
    <row r="99" spans="1:15" ht="31" x14ac:dyDescent="0.35">
      <c r="A99" s="220" t="s">
        <v>236</v>
      </c>
      <c r="B99" s="221">
        <v>9000</v>
      </c>
      <c r="C99" s="185">
        <f t="shared" si="5"/>
        <v>11250</v>
      </c>
      <c r="E99" s="186" t="s">
        <v>412</v>
      </c>
      <c r="F99" s="221">
        <v>650000</v>
      </c>
      <c r="G99" s="185">
        <f>F99*1.25</f>
        <v>812500</v>
      </c>
      <c r="M99" t="s">
        <v>546</v>
      </c>
      <c r="N99">
        <v>3</v>
      </c>
      <c r="O99" s="229">
        <f>IFERROR(INDEX('tabla salarial'!$AS$4:$AS$9,MATCH(N99,'tabla salarial'!$AT$4:$AT$9,0)),0)</f>
        <v>371571.3297066667</v>
      </c>
    </row>
    <row r="100" spans="1:15" x14ac:dyDescent="0.35">
      <c r="A100" s="220" t="s">
        <v>458</v>
      </c>
      <c r="B100" s="221">
        <v>700</v>
      </c>
      <c r="C100" s="185">
        <f t="shared" si="5"/>
        <v>875</v>
      </c>
      <c r="E100" s="186" t="s">
        <v>433</v>
      </c>
      <c r="F100" s="221">
        <v>25000</v>
      </c>
      <c r="G100" s="185">
        <f>F100*1.25</f>
        <v>31250</v>
      </c>
      <c r="M100" t="s">
        <v>563</v>
      </c>
      <c r="N100">
        <v>4</v>
      </c>
      <c r="O100" s="229">
        <f>IFERROR(INDEX('tabla salarial'!$AS$4:$AS$9,MATCH(N100,'tabla salarial'!$AT$4:$AT$9,0)),0)</f>
        <v>407197.80492666672</v>
      </c>
    </row>
    <row r="101" spans="1:15" x14ac:dyDescent="0.35">
      <c r="A101" s="136" t="s">
        <v>478</v>
      </c>
      <c r="B101" s="192">
        <v>5000</v>
      </c>
      <c r="C101" s="165">
        <f t="shared" si="5"/>
        <v>6250</v>
      </c>
      <c r="E101" s="278" t="s">
        <v>504</v>
      </c>
      <c r="F101" s="192">
        <v>74000</v>
      </c>
      <c r="G101" s="188">
        <f>F101*1.25</f>
        <v>92500</v>
      </c>
      <c r="M101" t="s">
        <v>560</v>
      </c>
      <c r="N101">
        <v>4</v>
      </c>
      <c r="O101" s="229">
        <f>IFERROR(INDEX('tabla salarial'!$AS$4:$AS$9,MATCH(N101,'tabla salarial'!$AT$4:$AT$9,0)),0)</f>
        <v>407197.80492666672</v>
      </c>
    </row>
    <row r="102" spans="1:15" x14ac:dyDescent="0.35">
      <c r="A102" s="266" t="s">
        <v>717</v>
      </c>
      <c r="B102" s="267">
        <v>1000</v>
      </c>
      <c r="C102" s="165">
        <f t="shared" si="5"/>
        <v>1250</v>
      </c>
      <c r="E102" s="186" t="s">
        <v>409</v>
      </c>
      <c r="F102" s="221">
        <v>53000</v>
      </c>
      <c r="G102" s="185">
        <f>F102*1.25</f>
        <v>66250</v>
      </c>
      <c r="M102" t="s">
        <v>590</v>
      </c>
      <c r="N102">
        <v>5</v>
      </c>
      <c r="O102" s="229">
        <f>IFERROR(INDEX('tabla salarial'!$AS$4:$AS$9,MATCH(N102,'tabla salarial'!$AT$4:$AT$9,0)),0)</f>
        <v>443956.94156000001</v>
      </c>
    </row>
    <row r="103" spans="1:15" x14ac:dyDescent="0.35">
      <c r="A103" s="266" t="s">
        <v>718</v>
      </c>
      <c r="B103" s="267">
        <v>2000</v>
      </c>
      <c r="C103" s="165">
        <f t="shared" si="5"/>
        <v>2500</v>
      </c>
      <c r="E103" s="187" t="s">
        <v>636</v>
      </c>
      <c r="F103" s="192">
        <v>61000</v>
      </c>
      <c r="G103" s="188">
        <f>F103*1.25</f>
        <v>76250</v>
      </c>
      <c r="M103" t="s">
        <v>551</v>
      </c>
      <c r="N103">
        <v>3</v>
      </c>
      <c r="O103" s="229">
        <f>IFERROR(INDEX('tabla salarial'!$AS$4:$AS$9,MATCH(N103,'tabla salarial'!$AT$4:$AT$9,0)),0)</f>
        <v>371571.3297066667</v>
      </c>
    </row>
    <row r="104" spans="1:15" x14ac:dyDescent="0.35">
      <c r="A104" s="266" t="s">
        <v>720</v>
      </c>
      <c r="B104" s="267">
        <v>6000</v>
      </c>
      <c r="C104" s="165">
        <f t="shared" si="5"/>
        <v>7500</v>
      </c>
      <c r="E104" s="186" t="s">
        <v>260</v>
      </c>
      <c r="F104" s="221">
        <v>20000</v>
      </c>
      <c r="G104" s="185">
        <f>F104*1.25</f>
        <v>25000</v>
      </c>
      <c r="M104" t="s">
        <v>570</v>
      </c>
      <c r="N104">
        <v>4</v>
      </c>
      <c r="O104" s="229">
        <f>IFERROR(INDEX('tabla salarial'!$AS$4:$AS$9,MATCH(N104,'tabla salarial'!$AT$4:$AT$9,0)),0)</f>
        <v>407197.80492666672</v>
      </c>
    </row>
    <row r="105" spans="1:15" x14ac:dyDescent="0.35">
      <c r="A105" s="136" t="s">
        <v>722</v>
      </c>
      <c r="B105" s="267">
        <v>2000</v>
      </c>
      <c r="C105" s="165">
        <f t="shared" si="5"/>
        <v>2500</v>
      </c>
      <c r="E105" s="269" t="s">
        <v>787</v>
      </c>
      <c r="F105" s="267"/>
      <c r="G105" s="185">
        <f>F105*1.25</f>
        <v>0</v>
      </c>
      <c r="M105" t="s">
        <v>566</v>
      </c>
      <c r="N105">
        <v>4</v>
      </c>
      <c r="O105" s="229">
        <f>IFERROR(INDEX('tabla salarial'!$AS$4:$AS$9,MATCH(N105,'tabla salarial'!$AT$4:$AT$9,0)),0)</f>
        <v>407197.80492666672</v>
      </c>
    </row>
    <row r="106" spans="1:15" x14ac:dyDescent="0.35">
      <c r="A106" s="136" t="s">
        <v>723</v>
      </c>
      <c r="B106" s="267">
        <v>2000</v>
      </c>
      <c r="C106" s="165">
        <f t="shared" si="5"/>
        <v>2500</v>
      </c>
      <c r="E106" s="186" t="s">
        <v>359</v>
      </c>
      <c r="F106" s="221">
        <v>9500</v>
      </c>
      <c r="G106" s="185">
        <f>F106*1.25</f>
        <v>11875</v>
      </c>
      <c r="M106" t="s">
        <v>509</v>
      </c>
      <c r="N106">
        <v>1</v>
      </c>
      <c r="O106" s="229">
        <f>IFERROR(INDEX('tabla salarial'!$AS$4:$AS$9,MATCH(N106,'tabla salarial'!$AT$4:$AT$9,0)),0)</f>
        <v>382109.06042666658</v>
      </c>
    </row>
    <row r="107" spans="1:15" x14ac:dyDescent="0.35">
      <c r="A107" s="136" t="s">
        <v>724</v>
      </c>
      <c r="B107" s="267">
        <v>4000</v>
      </c>
      <c r="C107" s="165">
        <f t="shared" si="5"/>
        <v>5000</v>
      </c>
      <c r="E107" s="186" t="s">
        <v>243</v>
      </c>
      <c r="F107" s="221">
        <v>9500</v>
      </c>
      <c r="G107" s="185">
        <f>F107*1.25</f>
        <v>11875</v>
      </c>
      <c r="M107" t="s">
        <v>572</v>
      </c>
      <c r="N107">
        <v>4</v>
      </c>
      <c r="O107" s="229">
        <f>IFERROR(INDEX('tabla salarial'!$AS$4:$AS$9,MATCH(N107,'tabla salarial'!$AT$4:$AT$9,0)),0)</f>
        <v>407197.80492666672</v>
      </c>
    </row>
    <row r="108" spans="1:15" x14ac:dyDescent="0.35">
      <c r="A108" s="136" t="s">
        <v>721</v>
      </c>
      <c r="B108" s="267">
        <v>1000</v>
      </c>
      <c r="C108" s="165">
        <f t="shared" si="5"/>
        <v>1250</v>
      </c>
      <c r="E108" s="269" t="s">
        <v>789</v>
      </c>
      <c r="F108" s="267"/>
      <c r="G108" s="185">
        <f>F108*1.25</f>
        <v>0</v>
      </c>
      <c r="M108" t="s">
        <v>620</v>
      </c>
      <c r="N108">
        <v>4</v>
      </c>
      <c r="O108" s="229">
        <f>IFERROR(INDEX('tabla salarial'!$AS$4:$AS$9,MATCH(N108,'tabla salarial'!$AT$4:$AT$9,0)),0)</f>
        <v>407197.80492666672</v>
      </c>
    </row>
    <row r="109" spans="1:15" x14ac:dyDescent="0.35">
      <c r="A109" s="136" t="s">
        <v>725</v>
      </c>
      <c r="B109" s="267">
        <v>7000</v>
      </c>
      <c r="C109" s="165">
        <f t="shared" si="5"/>
        <v>8750</v>
      </c>
      <c r="E109" s="187" t="s">
        <v>484</v>
      </c>
      <c r="F109" s="192">
        <v>12000</v>
      </c>
      <c r="G109" s="188">
        <f>F109*1.25</f>
        <v>15000</v>
      </c>
      <c r="M109" t="s">
        <v>556</v>
      </c>
      <c r="N109">
        <v>4</v>
      </c>
      <c r="O109" s="229">
        <f>IFERROR(INDEX('tabla salarial'!$AS$4:$AS$9,MATCH(N109,'tabla salarial'!$AT$4:$AT$9,0)),0)</f>
        <v>407197.80492666672</v>
      </c>
    </row>
    <row r="110" spans="1:15" x14ac:dyDescent="0.35">
      <c r="A110" s="220" t="s">
        <v>225</v>
      </c>
      <c r="B110" s="221">
        <v>1500</v>
      </c>
      <c r="C110" s="185">
        <f t="shared" si="5"/>
        <v>1875</v>
      </c>
      <c r="E110" s="187" t="s">
        <v>647</v>
      </c>
      <c r="F110" s="192">
        <v>60000</v>
      </c>
      <c r="G110" s="188">
        <f>F110*1.25</f>
        <v>75000</v>
      </c>
      <c r="M110" t="s">
        <v>583</v>
      </c>
      <c r="N110">
        <v>5</v>
      </c>
      <c r="O110" s="229">
        <f>IFERROR(INDEX('tabla salarial'!$AS$4:$AS$9,MATCH(N110,'tabla salarial'!$AT$4:$AT$9,0)),0)</f>
        <v>443956.94156000001</v>
      </c>
    </row>
    <row r="111" spans="1:15" x14ac:dyDescent="0.35">
      <c r="A111" s="220" t="s">
        <v>310</v>
      </c>
      <c r="B111" s="221">
        <v>1500</v>
      </c>
      <c r="C111" s="185">
        <f t="shared" si="5"/>
        <v>1875</v>
      </c>
      <c r="E111" s="186" t="s">
        <v>257</v>
      </c>
      <c r="F111" s="221">
        <v>9500</v>
      </c>
      <c r="G111" s="185">
        <f>F111*1.25</f>
        <v>11875</v>
      </c>
      <c r="M111" t="s">
        <v>537</v>
      </c>
      <c r="N111">
        <v>3</v>
      </c>
      <c r="O111" s="229">
        <f>IFERROR(INDEX('tabla salarial'!$AS$4:$AS$9,MATCH(N111,'tabla salarial'!$AT$4:$AT$9,0)),0)</f>
        <v>371571.3297066667</v>
      </c>
    </row>
    <row r="112" spans="1:15" x14ac:dyDescent="0.35">
      <c r="A112" s="266" t="s">
        <v>697</v>
      </c>
      <c r="B112" s="267">
        <v>3000</v>
      </c>
      <c r="C112" s="165">
        <f t="shared" si="5"/>
        <v>3750</v>
      </c>
      <c r="E112" s="186" t="s">
        <v>258</v>
      </c>
      <c r="F112" s="221">
        <v>9500</v>
      </c>
      <c r="G112" s="185">
        <f>F112*1.25</f>
        <v>11875</v>
      </c>
      <c r="M112" t="s">
        <v>609</v>
      </c>
      <c r="N112">
        <v>1</v>
      </c>
      <c r="O112" s="229">
        <f>IFERROR(INDEX('tabla salarial'!$AS$4:$AS$9,MATCH(N112,'tabla salarial'!$AT$4:$AT$9,0)),0)</f>
        <v>382109.06042666658</v>
      </c>
    </row>
    <row r="113" spans="1:15" ht="31" x14ac:dyDescent="0.35">
      <c r="A113" s="136" t="s">
        <v>632</v>
      </c>
      <c r="B113" s="192">
        <v>700</v>
      </c>
      <c r="C113" s="165">
        <f t="shared" si="5"/>
        <v>875</v>
      </c>
      <c r="E113" s="187" t="s">
        <v>800</v>
      </c>
      <c r="F113" s="267">
        <v>196721</v>
      </c>
      <c r="G113" s="188">
        <f>F113*1.25</f>
        <v>245901.25</v>
      </c>
      <c r="M113" t="s">
        <v>587</v>
      </c>
      <c r="N113">
        <v>5</v>
      </c>
      <c r="O113" s="229">
        <f>IFERROR(INDEX('tabla salarial'!$AS$4:$AS$9,MATCH(N113,'tabla salarial'!$AT$4:$AT$9,0)),0)</f>
        <v>443956.94156000001</v>
      </c>
    </row>
    <row r="114" spans="1:15" x14ac:dyDescent="0.35">
      <c r="A114" s="220" t="s">
        <v>226</v>
      </c>
      <c r="B114" s="221">
        <v>700</v>
      </c>
      <c r="C114" s="185">
        <f t="shared" si="5"/>
        <v>875</v>
      </c>
      <c r="E114" s="269" t="s">
        <v>784</v>
      </c>
      <c r="F114" s="267"/>
      <c r="G114" s="185">
        <f>F114*1.25</f>
        <v>0</v>
      </c>
      <c r="M114" t="s">
        <v>587</v>
      </c>
      <c r="N114">
        <v>2</v>
      </c>
      <c r="O114" s="229">
        <f>IFERROR(INDEX('tabla salarial'!$AS$4:$AS$9,MATCH(N114,'tabla salarial'!$AT$4:$AT$9,0)),0)</f>
        <v>355821.87609999999</v>
      </c>
    </row>
    <row r="115" spans="1:15" ht="31" x14ac:dyDescent="0.35">
      <c r="A115" s="220" t="s">
        <v>247</v>
      </c>
      <c r="B115" s="221">
        <v>80000</v>
      </c>
      <c r="C115" s="185">
        <f t="shared" si="5"/>
        <v>100000</v>
      </c>
      <c r="E115" s="369" t="s">
        <v>149</v>
      </c>
      <c r="F115" s="192">
        <v>40000</v>
      </c>
      <c r="G115" s="188">
        <f>F115*1.25</f>
        <v>50000</v>
      </c>
      <c r="M115" t="s">
        <v>547</v>
      </c>
      <c r="N115">
        <v>3</v>
      </c>
      <c r="O115" s="229">
        <f>IFERROR(INDEX('tabla salarial'!$AS$4:$AS$9,MATCH(N115,'tabla salarial'!$AT$4:$AT$9,0)),0)</f>
        <v>371571.3297066667</v>
      </c>
    </row>
    <row r="116" spans="1:15" x14ac:dyDescent="0.35">
      <c r="A116" s="220" t="s">
        <v>429</v>
      </c>
      <c r="B116" s="221">
        <v>500</v>
      </c>
      <c r="C116" s="185">
        <f t="shared" si="5"/>
        <v>625</v>
      </c>
      <c r="E116" s="187" t="s">
        <v>485</v>
      </c>
      <c r="F116" s="192">
        <v>35000</v>
      </c>
      <c r="G116" s="188">
        <f>F116*1.25</f>
        <v>43750</v>
      </c>
      <c r="M116" t="s">
        <v>540</v>
      </c>
      <c r="N116">
        <v>3</v>
      </c>
      <c r="O116" s="229">
        <f>IFERROR(INDEX('tabla salarial'!$AS$4:$AS$9,MATCH(N116,'tabla salarial'!$AT$4:$AT$9,0)),0)</f>
        <v>371571.3297066667</v>
      </c>
    </row>
    <row r="117" spans="1:15" x14ac:dyDescent="0.35">
      <c r="A117" s="136" t="s">
        <v>667</v>
      </c>
      <c r="B117" s="192">
        <v>2000</v>
      </c>
      <c r="C117" s="165"/>
      <c r="E117" s="186" t="s">
        <v>397</v>
      </c>
      <c r="F117" s="221">
        <v>1200</v>
      </c>
      <c r="G117" s="185">
        <f>F117*1.25</f>
        <v>1500</v>
      </c>
      <c r="M117" t="s">
        <v>607</v>
      </c>
      <c r="N117">
        <v>1</v>
      </c>
      <c r="O117" s="229">
        <f>IFERROR(INDEX('tabla salarial'!$AS$4:$AS$9,MATCH(N117,'tabla salarial'!$AT$4:$AT$9,0)),0)</f>
        <v>382109.06042666658</v>
      </c>
    </row>
    <row r="118" spans="1:15" x14ac:dyDescent="0.35">
      <c r="A118" s="220" t="s">
        <v>320</v>
      </c>
      <c r="B118" s="221">
        <v>5000</v>
      </c>
      <c r="C118" s="185">
        <f t="shared" ref="C118:C149" si="6">B118*1.25</f>
        <v>6250</v>
      </c>
      <c r="E118" s="187" t="s">
        <v>637</v>
      </c>
      <c r="F118" s="192">
        <v>56000</v>
      </c>
      <c r="G118" s="188">
        <f>F118*1.25</f>
        <v>70000</v>
      </c>
      <c r="M118" t="s">
        <v>529</v>
      </c>
      <c r="N118">
        <v>2</v>
      </c>
      <c r="O118" s="229">
        <f>IFERROR(INDEX('tabla salarial'!$AS$4:$AS$9,MATCH(N118,'tabla salarial'!$AT$4:$AT$9,0)),0)</f>
        <v>355821.87609999999</v>
      </c>
    </row>
    <row r="119" spans="1:15" x14ac:dyDescent="0.35">
      <c r="A119" s="220" t="s">
        <v>338</v>
      </c>
      <c r="B119" s="221">
        <v>40000</v>
      </c>
      <c r="C119" s="185">
        <f t="shared" si="6"/>
        <v>50000</v>
      </c>
      <c r="E119" s="187" t="s">
        <v>452</v>
      </c>
      <c r="F119" s="192">
        <v>45000</v>
      </c>
      <c r="G119" s="188">
        <f>F119*1.25</f>
        <v>56250</v>
      </c>
      <c r="M119" t="s">
        <v>576</v>
      </c>
      <c r="N119">
        <v>4</v>
      </c>
      <c r="O119" s="229">
        <f>IFERROR(INDEX('tabla salarial'!$AS$4:$AS$9,MATCH(N119,'tabla salarial'!$AT$4:$AT$9,0)),0)</f>
        <v>407197.80492666672</v>
      </c>
    </row>
    <row r="120" spans="1:15" x14ac:dyDescent="0.35">
      <c r="A120" s="220" t="s">
        <v>339</v>
      </c>
      <c r="B120" s="221">
        <v>40000</v>
      </c>
      <c r="C120" s="185">
        <f t="shared" si="6"/>
        <v>50000</v>
      </c>
      <c r="E120" s="187" t="s">
        <v>685</v>
      </c>
      <c r="F120" s="192">
        <v>150000</v>
      </c>
      <c r="G120" s="188">
        <f>F120*1.25</f>
        <v>187500</v>
      </c>
      <c r="M120" t="s">
        <v>593</v>
      </c>
      <c r="N120">
        <v>5</v>
      </c>
      <c r="O120" s="229">
        <f>IFERROR(INDEX('tabla salarial'!$AS$4:$AS$9,MATCH(N120,'tabla salarial'!$AT$4:$AT$9,0)),0)</f>
        <v>443956.94156000001</v>
      </c>
    </row>
    <row r="121" spans="1:15" x14ac:dyDescent="0.35">
      <c r="A121" s="266" t="s">
        <v>732</v>
      </c>
      <c r="B121" s="267">
        <v>30000</v>
      </c>
      <c r="C121" s="165">
        <f t="shared" si="6"/>
        <v>37500</v>
      </c>
      <c r="E121" s="187" t="s">
        <v>635</v>
      </c>
      <c r="F121" s="271">
        <v>250000</v>
      </c>
      <c r="G121" s="188">
        <f>F121*1.25</f>
        <v>312500</v>
      </c>
      <c r="M121" t="s">
        <v>594</v>
      </c>
      <c r="N121">
        <v>5</v>
      </c>
      <c r="O121" s="229">
        <f>IFERROR(INDEX('tabla salarial'!$AS$4:$AS$9,MATCH(N121,'tabla salarial'!$AT$4:$AT$9,0)),0)</f>
        <v>443956.94156000001</v>
      </c>
    </row>
    <row r="122" spans="1:15" x14ac:dyDescent="0.35">
      <c r="A122" s="266" t="s">
        <v>733</v>
      </c>
      <c r="B122" s="267">
        <v>50000</v>
      </c>
      <c r="C122" s="165">
        <f t="shared" si="6"/>
        <v>62500</v>
      </c>
      <c r="E122" s="187" t="s">
        <v>463</v>
      </c>
      <c r="F122" s="271">
        <v>69900</v>
      </c>
      <c r="G122" s="188">
        <f>F122*1.25</f>
        <v>87375</v>
      </c>
      <c r="M122" t="s">
        <v>628</v>
      </c>
      <c r="N122">
        <v>5</v>
      </c>
      <c r="O122" s="229">
        <f>IFERROR(INDEX('tabla salarial'!$AS$4:$AS$9,MATCH(N122,'tabla salarial'!$AT$4:$AT$9,0)),0)</f>
        <v>443956.94156000001</v>
      </c>
    </row>
    <row r="123" spans="1:15" x14ac:dyDescent="0.35">
      <c r="A123" s="220" t="s">
        <v>327</v>
      </c>
      <c r="B123" s="221">
        <v>2000</v>
      </c>
      <c r="C123" s="185">
        <f t="shared" si="6"/>
        <v>2500</v>
      </c>
      <c r="E123" s="187" t="s">
        <v>671</v>
      </c>
      <c r="F123" s="271">
        <v>12615</v>
      </c>
      <c r="G123" s="188">
        <f>F123*1.25</f>
        <v>15768.75</v>
      </c>
      <c r="M123" t="s">
        <v>625</v>
      </c>
      <c r="N123">
        <v>4</v>
      </c>
      <c r="O123" s="229">
        <f>IFERROR(INDEX('tabla salarial'!$AS$4:$AS$9,MATCH(N123,'tabla salarial'!$AT$4:$AT$9,0)),0)</f>
        <v>407197.80492666672</v>
      </c>
    </row>
    <row r="124" spans="1:15" x14ac:dyDescent="0.35">
      <c r="A124" s="220" t="s">
        <v>431</v>
      </c>
      <c r="B124" s="221">
        <v>1000</v>
      </c>
      <c r="C124" s="185">
        <f t="shared" si="6"/>
        <v>1250</v>
      </c>
      <c r="E124" s="187" t="s">
        <v>670</v>
      </c>
      <c r="F124" s="271">
        <v>584900</v>
      </c>
      <c r="G124" s="188">
        <f>F124*1.25</f>
        <v>731125</v>
      </c>
      <c r="M124" t="s">
        <v>614</v>
      </c>
      <c r="N124">
        <v>2</v>
      </c>
      <c r="O124" s="229">
        <f>IFERROR(INDEX('tabla salarial'!$AS$4:$AS$9,MATCH(N124,'tabla salarial'!$AT$4:$AT$9,0)),0)</f>
        <v>355821.87609999999</v>
      </c>
    </row>
    <row r="125" spans="1:15" x14ac:dyDescent="0.35">
      <c r="A125" s="220" t="s">
        <v>237</v>
      </c>
      <c r="B125" s="221">
        <v>1000</v>
      </c>
      <c r="C125" s="185">
        <f t="shared" si="6"/>
        <v>1250</v>
      </c>
      <c r="E125" s="187" t="s">
        <v>742</v>
      </c>
      <c r="F125" s="267">
        <v>15000</v>
      </c>
      <c r="G125" s="188">
        <f>F125*1.25</f>
        <v>18750</v>
      </c>
      <c r="M125" t="s">
        <v>641</v>
      </c>
      <c r="N125">
        <v>6</v>
      </c>
      <c r="O125" s="229">
        <f>IFERROR(INDEX('tabla salarial'!$AS$4:$AS$9,MATCH(N125,'tabla salarial'!$AT$4:$AT$9,0)),0)</f>
        <v>555393.74067333317</v>
      </c>
    </row>
    <row r="126" spans="1:15" x14ac:dyDescent="0.35">
      <c r="A126" s="220" t="s">
        <v>227</v>
      </c>
      <c r="B126" s="221">
        <v>700</v>
      </c>
      <c r="C126" s="185">
        <f t="shared" si="6"/>
        <v>875</v>
      </c>
      <c r="E126" s="187" t="s">
        <v>743</v>
      </c>
      <c r="F126" s="267">
        <v>15000</v>
      </c>
      <c r="G126" s="185">
        <f>F126*1.25</f>
        <v>18750</v>
      </c>
      <c r="M126" t="s">
        <v>599</v>
      </c>
      <c r="N126">
        <v>6</v>
      </c>
      <c r="O126" s="229">
        <f>IFERROR(INDEX('tabla salarial'!$AS$4:$AS$9,MATCH(N126,'tabla salarial'!$AT$4:$AT$9,0)),0)</f>
        <v>555393.74067333317</v>
      </c>
    </row>
    <row r="127" spans="1:15" x14ac:dyDescent="0.35">
      <c r="A127" s="220" t="s">
        <v>415</v>
      </c>
      <c r="B127" s="221">
        <v>15000</v>
      </c>
      <c r="C127" s="185">
        <f t="shared" si="6"/>
        <v>18750</v>
      </c>
      <c r="E127" s="187" t="s">
        <v>745</v>
      </c>
      <c r="F127" s="265">
        <v>15000</v>
      </c>
      <c r="G127" s="185">
        <f>F127*1.25</f>
        <v>18750</v>
      </c>
      <c r="M127" t="s">
        <v>557</v>
      </c>
      <c r="N127">
        <v>4</v>
      </c>
      <c r="O127" s="229">
        <f>IFERROR(INDEX('tabla salarial'!$AS$4:$AS$9,MATCH(N127,'tabla salarial'!$AT$4:$AT$9,0)),0)</f>
        <v>407197.80492666672</v>
      </c>
    </row>
    <row r="128" spans="1:15" x14ac:dyDescent="0.35">
      <c r="A128" s="220" t="s">
        <v>231</v>
      </c>
      <c r="B128" s="221">
        <v>1500</v>
      </c>
      <c r="C128" s="185">
        <f t="shared" si="6"/>
        <v>1875</v>
      </c>
      <c r="E128" s="187" t="s">
        <v>744</v>
      </c>
      <c r="F128" s="267">
        <v>15000</v>
      </c>
      <c r="G128" s="185">
        <f>F128*1.25</f>
        <v>18750</v>
      </c>
      <c r="M128" t="s">
        <v>584</v>
      </c>
      <c r="N128">
        <v>5</v>
      </c>
      <c r="O128" s="229">
        <f>IFERROR(INDEX('tabla salarial'!$AS$4:$AS$9,MATCH(N128,'tabla salarial'!$AT$4:$AT$9,0)),0)</f>
        <v>443956.94156000001</v>
      </c>
    </row>
    <row r="129" spans="1:15" x14ac:dyDescent="0.35">
      <c r="A129" s="220" t="s">
        <v>301</v>
      </c>
      <c r="B129" s="221">
        <v>500</v>
      </c>
      <c r="C129" s="185">
        <f t="shared" si="6"/>
        <v>625</v>
      </c>
      <c r="E129" s="269" t="s">
        <v>786</v>
      </c>
      <c r="F129" s="267">
        <v>33000</v>
      </c>
      <c r="G129" s="185">
        <f>F129*1.25</f>
        <v>41250</v>
      </c>
      <c r="M129" t="s">
        <v>548</v>
      </c>
      <c r="N129">
        <v>3</v>
      </c>
      <c r="O129" s="229">
        <f>IFERROR(INDEX('tabla salarial'!$AS$4:$AS$9,MATCH(N129,'tabla salarial'!$AT$4:$AT$9,0)),0)</f>
        <v>371571.3297066667</v>
      </c>
    </row>
    <row r="130" spans="1:15" x14ac:dyDescent="0.35">
      <c r="A130" s="220" t="s">
        <v>252</v>
      </c>
      <c r="B130" s="221">
        <v>700</v>
      </c>
      <c r="C130" s="185">
        <f t="shared" si="6"/>
        <v>875</v>
      </c>
      <c r="E130" s="186" t="s">
        <v>439</v>
      </c>
      <c r="F130" s="221">
        <v>59000</v>
      </c>
      <c r="G130" s="185">
        <f>F130*1.25</f>
        <v>73750</v>
      </c>
      <c r="M130" t="s">
        <v>538</v>
      </c>
      <c r="N130">
        <v>3</v>
      </c>
      <c r="O130" s="229">
        <f>IFERROR(INDEX('tabla salarial'!$AS$4:$AS$9,MATCH(N130,'tabla salarial'!$AT$4:$AT$9,0)),0)</f>
        <v>371571.3297066667</v>
      </c>
    </row>
    <row r="131" spans="1:15" ht="31" x14ac:dyDescent="0.35">
      <c r="A131" s="220" t="s">
        <v>435</v>
      </c>
      <c r="B131" s="221">
        <v>700</v>
      </c>
      <c r="C131" s="185">
        <f t="shared" si="6"/>
        <v>875</v>
      </c>
      <c r="E131" s="186" t="s">
        <v>398</v>
      </c>
      <c r="F131" s="221">
        <v>58000</v>
      </c>
      <c r="G131" s="185">
        <f>F131*1.25</f>
        <v>72500</v>
      </c>
      <c r="M131" t="s">
        <v>617</v>
      </c>
      <c r="N131">
        <v>3</v>
      </c>
      <c r="O131" s="229">
        <f>IFERROR(INDEX('tabla salarial'!$AS$4:$AS$9,MATCH(N131,'tabla salarial'!$AT$4:$AT$9,0)),0)</f>
        <v>371571.3297066667</v>
      </c>
    </row>
    <row r="132" spans="1:15" x14ac:dyDescent="0.35">
      <c r="A132" s="266" t="s">
        <v>694</v>
      </c>
      <c r="B132" s="267">
        <v>3000</v>
      </c>
      <c r="C132" s="165">
        <f t="shared" si="6"/>
        <v>3750</v>
      </c>
      <c r="E132" s="186" t="s">
        <v>349</v>
      </c>
      <c r="F132" s="221">
        <v>30000</v>
      </c>
      <c r="G132" s="185">
        <f>F132*1.25</f>
        <v>37500</v>
      </c>
      <c r="M132" t="s">
        <v>656</v>
      </c>
      <c r="N132">
        <v>4</v>
      </c>
      <c r="O132" s="229">
        <f>IFERROR(INDEX('tabla salarial'!$AS$4:$AS$9,MATCH(N132,'tabla salarial'!$AT$4:$AT$9,0)),0)</f>
        <v>407197.80492666672</v>
      </c>
    </row>
    <row r="133" spans="1:15" x14ac:dyDescent="0.35">
      <c r="A133" s="220" t="s">
        <v>251</v>
      </c>
      <c r="B133" s="223">
        <v>700</v>
      </c>
      <c r="C133" s="185">
        <f t="shared" si="6"/>
        <v>875</v>
      </c>
      <c r="E133" s="186" t="s">
        <v>264</v>
      </c>
      <c r="F133" s="223">
        <v>3800</v>
      </c>
      <c r="G133" s="185">
        <f>F133*1.25</f>
        <v>4750</v>
      </c>
      <c r="M133" t="s">
        <v>796</v>
      </c>
      <c r="N133">
        <v>3</v>
      </c>
      <c r="O133" s="229">
        <f>IFERROR(INDEX('tabla salarial'!$AS$4:$AS$9,MATCH(N133,'tabla salarial'!$AT$4:$AT$9,0)),0)</f>
        <v>371571.3297066667</v>
      </c>
    </row>
    <row r="134" spans="1:15" x14ac:dyDescent="0.35">
      <c r="A134" s="136" t="s">
        <v>702</v>
      </c>
      <c r="B134" s="265">
        <v>5000</v>
      </c>
      <c r="C134" s="165">
        <f t="shared" si="6"/>
        <v>6250</v>
      </c>
      <c r="E134" s="278" t="s">
        <v>493</v>
      </c>
      <c r="F134" s="271">
        <v>31000</v>
      </c>
      <c r="G134" s="188">
        <f>F134*1.25</f>
        <v>38750</v>
      </c>
      <c r="M134" t="s">
        <v>797</v>
      </c>
      <c r="N134">
        <v>2</v>
      </c>
      <c r="O134" s="229">
        <f>IFERROR(INDEX('tabla salarial'!$AS$4:$AS$9,MATCH(N134,'tabla salarial'!$AT$4:$AT$9,0)),0)</f>
        <v>355821.87609999999</v>
      </c>
    </row>
    <row r="135" spans="1:15" x14ac:dyDescent="0.35">
      <c r="A135" s="266" t="s">
        <v>701</v>
      </c>
      <c r="B135" s="267">
        <v>1000</v>
      </c>
      <c r="C135" s="165">
        <f t="shared" si="6"/>
        <v>1250</v>
      </c>
      <c r="E135" s="370" t="s">
        <v>749</v>
      </c>
      <c r="F135" s="265">
        <v>1000</v>
      </c>
      <c r="G135" s="188">
        <f>F135*1.25</f>
        <v>1250</v>
      </c>
      <c r="M135" t="s">
        <v>511</v>
      </c>
      <c r="N135">
        <v>1</v>
      </c>
      <c r="O135" s="229">
        <f>IFERROR(INDEX('tabla salarial'!$AS$4:$AS$9,MATCH(N135,'tabla salarial'!$AT$4:$AT$9,0)),0)</f>
        <v>382109.06042666658</v>
      </c>
    </row>
    <row r="136" spans="1:15" x14ac:dyDescent="0.35">
      <c r="A136" s="220" t="s">
        <v>448</v>
      </c>
      <c r="B136" s="221">
        <v>700</v>
      </c>
      <c r="C136" s="185">
        <f t="shared" si="6"/>
        <v>875</v>
      </c>
      <c r="E136" s="266" t="s">
        <v>790</v>
      </c>
      <c r="F136" s="265"/>
      <c r="G136" s="188">
        <f>F136*1.25</f>
        <v>0</v>
      </c>
      <c r="M136" t="s">
        <v>798</v>
      </c>
      <c r="N136">
        <v>6</v>
      </c>
      <c r="O136" s="229">
        <f>IFERROR(INDEX('tabla salarial'!$AS$4:$AS$9,MATCH(N136,'tabla salarial'!$AT$4:$AT$9,0)),0)</f>
        <v>555393.74067333317</v>
      </c>
    </row>
    <row r="137" spans="1:15" ht="31" x14ac:dyDescent="0.35">
      <c r="A137" s="136" t="s">
        <v>674</v>
      </c>
      <c r="B137" s="192">
        <v>3500</v>
      </c>
      <c r="C137" s="165">
        <f t="shared" si="6"/>
        <v>4375</v>
      </c>
      <c r="E137" s="278" t="s">
        <v>304</v>
      </c>
      <c r="F137" s="271">
        <v>1460026</v>
      </c>
      <c r="G137" s="185">
        <f>F137*1.25</f>
        <v>1825032.5</v>
      </c>
      <c r="M137" t="s">
        <v>799</v>
      </c>
      <c r="N137">
        <v>3</v>
      </c>
      <c r="O137" s="229">
        <f>IFERROR(INDEX('tabla salarial'!$AS$4:$AS$9,MATCH(N137,'tabla salarial'!$AT$4:$AT$9,0)),0)</f>
        <v>371571.3297066667</v>
      </c>
    </row>
    <row r="138" spans="1:15" x14ac:dyDescent="0.35">
      <c r="A138" s="136" t="s">
        <v>477</v>
      </c>
      <c r="B138" s="192">
        <v>50000</v>
      </c>
      <c r="C138" s="165">
        <f t="shared" si="6"/>
        <v>62500</v>
      </c>
      <c r="E138" s="278" t="s">
        <v>466</v>
      </c>
      <c r="F138" s="271">
        <v>150000</v>
      </c>
      <c r="G138" s="188">
        <f>F138*1.25</f>
        <v>187500</v>
      </c>
      <c r="M138"/>
      <c r="N138"/>
      <c r="O138"/>
    </row>
    <row r="139" spans="1:15" x14ac:dyDescent="0.35">
      <c r="A139" s="136" t="s">
        <v>477</v>
      </c>
      <c r="B139" s="267">
        <v>50000</v>
      </c>
      <c r="C139" s="165">
        <f t="shared" si="6"/>
        <v>62500</v>
      </c>
      <c r="E139" s="278" t="s">
        <v>453</v>
      </c>
      <c r="F139" s="271">
        <v>35600</v>
      </c>
      <c r="G139" s="188">
        <f>F139*1.25</f>
        <v>44500</v>
      </c>
      <c r="M139"/>
      <c r="N139"/>
      <c r="O139"/>
    </row>
    <row r="140" spans="1:15" x14ac:dyDescent="0.35">
      <c r="A140" s="220" t="s">
        <v>343</v>
      </c>
      <c r="B140" s="221">
        <v>1000</v>
      </c>
      <c r="C140" s="185">
        <f t="shared" si="6"/>
        <v>1250</v>
      </c>
      <c r="E140" s="278" t="s">
        <v>503</v>
      </c>
      <c r="F140" s="271">
        <v>22000</v>
      </c>
      <c r="G140" s="188">
        <f>F140*1.25</f>
        <v>27500</v>
      </c>
      <c r="M140"/>
      <c r="N140"/>
      <c r="O140"/>
    </row>
    <row r="141" spans="1:15" ht="31" x14ac:dyDescent="0.35">
      <c r="A141" s="220" t="s">
        <v>436</v>
      </c>
      <c r="B141" s="221"/>
      <c r="C141" s="185">
        <f t="shared" si="6"/>
        <v>0</v>
      </c>
      <c r="E141" s="278" t="s">
        <v>467</v>
      </c>
      <c r="F141" s="192">
        <v>12000</v>
      </c>
      <c r="G141" s="188">
        <f>F141*1.25</f>
        <v>15000</v>
      </c>
      <c r="M141"/>
      <c r="N141"/>
      <c r="O141"/>
    </row>
    <row r="142" spans="1:15" x14ac:dyDescent="0.35">
      <c r="A142" s="220" t="s">
        <v>344</v>
      </c>
      <c r="B142" s="223">
        <v>40000</v>
      </c>
      <c r="C142" s="185">
        <f t="shared" si="6"/>
        <v>50000</v>
      </c>
      <c r="E142" s="187" t="s">
        <v>664</v>
      </c>
      <c r="F142" s="192">
        <v>8000</v>
      </c>
      <c r="G142" s="188">
        <f>F142*1.25</f>
        <v>10000</v>
      </c>
      <c r="M142"/>
      <c r="N142"/>
      <c r="O142"/>
    </row>
    <row r="143" spans="1:15" x14ac:dyDescent="0.35">
      <c r="A143" s="136" t="s">
        <v>639</v>
      </c>
      <c r="B143" s="192">
        <v>2000</v>
      </c>
      <c r="C143" s="165">
        <f t="shared" si="6"/>
        <v>2500</v>
      </c>
      <c r="E143" s="187" t="s">
        <v>666</v>
      </c>
      <c r="F143" s="192">
        <v>13000</v>
      </c>
      <c r="G143" s="188">
        <f>F143*1.25</f>
        <v>16250</v>
      </c>
      <c r="M143"/>
      <c r="N143"/>
      <c r="O143"/>
    </row>
    <row r="144" spans="1:15" x14ac:dyDescent="0.35">
      <c r="A144" s="220" t="s">
        <v>326</v>
      </c>
      <c r="B144" s="223">
        <v>1500</v>
      </c>
      <c r="C144" s="185">
        <f t="shared" si="6"/>
        <v>1875</v>
      </c>
      <c r="E144" s="187" t="s">
        <v>665</v>
      </c>
      <c r="F144" s="192">
        <v>15500</v>
      </c>
      <c r="G144" s="188">
        <f>F144*1.25</f>
        <v>19375</v>
      </c>
      <c r="M144"/>
      <c r="N144"/>
      <c r="O144"/>
    </row>
    <row r="145" spans="1:15" x14ac:dyDescent="0.35">
      <c r="A145" s="136" t="s">
        <v>703</v>
      </c>
      <c r="B145" s="267">
        <v>2000</v>
      </c>
      <c r="C145" s="165">
        <f t="shared" si="6"/>
        <v>2500</v>
      </c>
      <c r="E145" s="187" t="s">
        <v>673</v>
      </c>
      <c r="F145" s="192">
        <v>60000</v>
      </c>
      <c r="G145" s="188">
        <f>F145*1.25</f>
        <v>75000</v>
      </c>
      <c r="M145"/>
      <c r="N145"/>
      <c r="O145"/>
    </row>
    <row r="146" spans="1:15" x14ac:dyDescent="0.35">
      <c r="A146" s="136" t="s">
        <v>704</v>
      </c>
      <c r="B146" s="265">
        <v>5000</v>
      </c>
      <c r="C146" s="165">
        <f t="shared" si="6"/>
        <v>6250</v>
      </c>
      <c r="E146" s="187" t="s">
        <v>765</v>
      </c>
      <c r="F146" s="267">
        <v>1500</v>
      </c>
      <c r="G146" s="188">
        <f>F146*1.25</f>
        <v>1875</v>
      </c>
      <c r="M146"/>
      <c r="N146"/>
      <c r="O146"/>
    </row>
    <row r="147" spans="1:15" x14ac:dyDescent="0.35">
      <c r="A147" s="136" t="s">
        <v>705</v>
      </c>
      <c r="B147" s="265">
        <v>10000</v>
      </c>
      <c r="C147" s="165">
        <f t="shared" si="6"/>
        <v>12500</v>
      </c>
      <c r="E147" s="187" t="s">
        <v>766</v>
      </c>
      <c r="F147" s="267">
        <v>2000</v>
      </c>
      <c r="G147" s="185">
        <f>F147*1.25</f>
        <v>2500</v>
      </c>
      <c r="M147"/>
      <c r="N147"/>
      <c r="O147"/>
    </row>
    <row r="148" spans="1:15" x14ac:dyDescent="0.35">
      <c r="A148" s="266" t="s">
        <v>726</v>
      </c>
      <c r="B148" s="267">
        <v>50000</v>
      </c>
      <c r="C148" s="165">
        <f t="shared" si="6"/>
        <v>62500</v>
      </c>
      <c r="E148" s="187" t="s">
        <v>506</v>
      </c>
      <c r="F148" s="192">
        <v>8500</v>
      </c>
      <c r="G148" s="188">
        <f>F148*1.25</f>
        <v>10625</v>
      </c>
      <c r="M148"/>
      <c r="N148"/>
      <c r="O148"/>
    </row>
    <row r="149" spans="1:15" x14ac:dyDescent="0.35">
      <c r="A149" s="136" t="s">
        <v>757</v>
      </c>
      <c r="B149" s="267">
        <v>1000</v>
      </c>
      <c r="C149" s="165">
        <f t="shared" si="6"/>
        <v>1250</v>
      </c>
      <c r="E149" s="187" t="s">
        <v>501</v>
      </c>
      <c r="F149" s="192">
        <v>95000</v>
      </c>
      <c r="G149" s="188">
        <f>F149*1.25</f>
        <v>118750</v>
      </c>
      <c r="M149"/>
      <c r="N149"/>
      <c r="O149"/>
    </row>
    <row r="150" spans="1:15" x14ac:dyDescent="0.35">
      <c r="A150" s="220" t="s">
        <v>342</v>
      </c>
      <c r="B150" s="221">
        <v>15000</v>
      </c>
      <c r="C150" s="185">
        <f t="shared" ref="C150:C181" si="7">B150*1.25</f>
        <v>18750</v>
      </c>
      <c r="M150"/>
      <c r="N150"/>
      <c r="O150"/>
    </row>
    <row r="151" spans="1:15" ht="31" x14ac:dyDescent="0.35">
      <c r="A151" s="220" t="s">
        <v>472</v>
      </c>
      <c r="B151" s="221">
        <v>7000</v>
      </c>
      <c r="C151" s="185">
        <f t="shared" si="7"/>
        <v>8750</v>
      </c>
      <c r="M151"/>
      <c r="N151"/>
      <c r="O151"/>
    </row>
    <row r="152" spans="1:15" ht="31" x14ac:dyDescent="0.35">
      <c r="A152" s="220" t="s">
        <v>438</v>
      </c>
      <c r="B152" s="221">
        <v>14000</v>
      </c>
      <c r="C152" s="185">
        <f t="shared" si="7"/>
        <v>17500</v>
      </c>
      <c r="M152"/>
      <c r="N152"/>
      <c r="O152"/>
    </row>
    <row r="153" spans="1:15" x14ac:dyDescent="0.35">
      <c r="A153" s="266" t="s">
        <v>737</v>
      </c>
      <c r="B153" s="267">
        <v>500</v>
      </c>
      <c r="C153" s="165">
        <f t="shared" si="7"/>
        <v>625</v>
      </c>
      <c r="M153"/>
      <c r="N153"/>
      <c r="O153"/>
    </row>
    <row r="154" spans="1:15" x14ac:dyDescent="0.35">
      <c r="A154" s="220" t="s">
        <v>407</v>
      </c>
      <c r="B154" s="221">
        <v>8000</v>
      </c>
      <c r="C154" s="185">
        <f t="shared" si="7"/>
        <v>10000</v>
      </c>
      <c r="M154"/>
      <c r="N154"/>
      <c r="O154"/>
    </row>
    <row r="155" spans="1:15" x14ac:dyDescent="0.35">
      <c r="A155" s="136" t="s">
        <v>473</v>
      </c>
      <c r="B155" s="192">
        <v>50000</v>
      </c>
      <c r="C155" s="165">
        <f t="shared" si="7"/>
        <v>62500</v>
      </c>
      <c r="M155"/>
      <c r="N155"/>
      <c r="O155"/>
    </row>
    <row r="156" spans="1:15" x14ac:dyDescent="0.35">
      <c r="A156" s="220" t="s">
        <v>483</v>
      </c>
      <c r="B156" s="221">
        <v>25000</v>
      </c>
      <c r="C156" s="185">
        <f t="shared" si="7"/>
        <v>31250</v>
      </c>
      <c r="M156"/>
      <c r="N156"/>
      <c r="O156"/>
    </row>
    <row r="157" spans="1:15" x14ac:dyDescent="0.35">
      <c r="A157" s="220" t="s">
        <v>430</v>
      </c>
      <c r="B157" s="221">
        <v>1500</v>
      </c>
      <c r="C157" s="185">
        <f t="shared" si="7"/>
        <v>1875</v>
      </c>
      <c r="M157"/>
      <c r="N157"/>
      <c r="O157"/>
    </row>
    <row r="158" spans="1:15" x14ac:dyDescent="0.35">
      <c r="A158" s="220" t="s">
        <v>244</v>
      </c>
      <c r="B158" s="221">
        <v>190000</v>
      </c>
      <c r="C158" s="185">
        <f t="shared" si="7"/>
        <v>237500</v>
      </c>
      <c r="M158"/>
      <c r="N158"/>
      <c r="O158"/>
    </row>
    <row r="159" spans="1:15" x14ac:dyDescent="0.35">
      <c r="A159" s="220" t="s">
        <v>246</v>
      </c>
      <c r="B159" s="221">
        <v>322000</v>
      </c>
      <c r="C159" s="185">
        <f t="shared" si="7"/>
        <v>402500</v>
      </c>
      <c r="M159"/>
      <c r="N159"/>
      <c r="O159"/>
    </row>
    <row r="160" spans="1:15" x14ac:dyDescent="0.35">
      <c r="A160" s="220" t="s">
        <v>248</v>
      </c>
      <c r="B160" s="221">
        <v>100000</v>
      </c>
      <c r="C160" s="185">
        <f t="shared" si="7"/>
        <v>125000</v>
      </c>
      <c r="M160"/>
      <c r="N160"/>
      <c r="O160"/>
    </row>
    <row r="161" spans="1:15" x14ac:dyDescent="0.35">
      <c r="A161" s="220" t="s">
        <v>333</v>
      </c>
      <c r="B161" s="221">
        <v>750</v>
      </c>
      <c r="C161" s="185">
        <f t="shared" si="7"/>
        <v>937.5</v>
      </c>
      <c r="M161"/>
      <c r="N161"/>
      <c r="O161"/>
    </row>
    <row r="162" spans="1:15" x14ac:dyDescent="0.35">
      <c r="A162" s="136" t="s">
        <v>497</v>
      </c>
      <c r="B162" s="192">
        <v>1000</v>
      </c>
      <c r="C162" s="165">
        <f t="shared" si="7"/>
        <v>1250</v>
      </c>
      <c r="M162"/>
      <c r="N162"/>
      <c r="O162"/>
    </row>
    <row r="163" spans="1:15" x14ac:dyDescent="0.35">
      <c r="A163" s="220" t="s">
        <v>230</v>
      </c>
      <c r="B163" s="221">
        <v>15000</v>
      </c>
      <c r="C163" s="185">
        <f t="shared" si="7"/>
        <v>18750</v>
      </c>
      <c r="M163"/>
      <c r="N163"/>
      <c r="O163"/>
    </row>
    <row r="164" spans="1:15" x14ac:dyDescent="0.35">
      <c r="A164" s="220" t="s">
        <v>321</v>
      </c>
      <c r="B164" s="223">
        <v>1000</v>
      </c>
      <c r="C164" s="185">
        <f t="shared" si="7"/>
        <v>1250</v>
      </c>
      <c r="M164"/>
      <c r="N164"/>
      <c r="O164"/>
    </row>
    <row r="165" spans="1:15" x14ac:dyDescent="0.35">
      <c r="A165" s="220" t="s">
        <v>324</v>
      </c>
      <c r="B165" s="223">
        <v>2000</v>
      </c>
      <c r="C165" s="185">
        <f t="shared" si="7"/>
        <v>2500</v>
      </c>
      <c r="M165"/>
      <c r="N165"/>
      <c r="O165"/>
    </row>
    <row r="166" spans="1:15" x14ac:dyDescent="0.35">
      <c r="A166" s="220" t="s">
        <v>360</v>
      </c>
      <c r="B166" s="223">
        <v>42000</v>
      </c>
      <c r="C166" s="185">
        <f t="shared" si="7"/>
        <v>52500</v>
      </c>
      <c r="M166"/>
      <c r="N166"/>
      <c r="O166"/>
    </row>
    <row r="167" spans="1:15" x14ac:dyDescent="0.35">
      <c r="A167" s="136" t="s">
        <v>638</v>
      </c>
      <c r="B167" s="192">
        <v>3000</v>
      </c>
      <c r="C167" s="165">
        <f t="shared" si="7"/>
        <v>3750</v>
      </c>
      <c r="M167"/>
      <c r="N167"/>
      <c r="O167"/>
    </row>
    <row r="168" spans="1:15" x14ac:dyDescent="0.35">
      <c r="A168" s="266" t="s">
        <v>708</v>
      </c>
      <c r="B168" s="267">
        <v>60000</v>
      </c>
      <c r="C168" s="165">
        <f t="shared" si="7"/>
        <v>75000</v>
      </c>
      <c r="M168"/>
      <c r="N168"/>
      <c r="O168"/>
    </row>
    <row r="169" spans="1:15" x14ac:dyDescent="0.35">
      <c r="A169" s="266" t="s">
        <v>706</v>
      </c>
      <c r="B169" s="267">
        <v>50000</v>
      </c>
      <c r="C169" s="165">
        <f t="shared" si="7"/>
        <v>62500</v>
      </c>
      <c r="M169"/>
      <c r="N169"/>
      <c r="O169"/>
    </row>
    <row r="170" spans="1:15" x14ac:dyDescent="0.35">
      <c r="A170" s="266" t="s">
        <v>710</v>
      </c>
      <c r="B170" s="267">
        <v>15000</v>
      </c>
      <c r="C170" s="165">
        <f t="shared" si="7"/>
        <v>18750</v>
      </c>
      <c r="M170"/>
      <c r="N170"/>
      <c r="O170"/>
    </row>
    <row r="171" spans="1:15" x14ac:dyDescent="0.35">
      <c r="A171" s="266" t="s">
        <v>711</v>
      </c>
      <c r="B171" s="267">
        <v>35000</v>
      </c>
      <c r="C171" s="165">
        <f t="shared" si="7"/>
        <v>43750</v>
      </c>
      <c r="M171"/>
      <c r="N171"/>
      <c r="O171"/>
    </row>
    <row r="172" spans="1:15" x14ac:dyDescent="0.35">
      <c r="A172" s="266" t="s">
        <v>709</v>
      </c>
      <c r="B172" s="267">
        <v>30000</v>
      </c>
      <c r="C172" s="165">
        <f t="shared" si="7"/>
        <v>37500</v>
      </c>
      <c r="M172"/>
      <c r="N172"/>
      <c r="O172"/>
    </row>
    <row r="173" spans="1:15" x14ac:dyDescent="0.35">
      <c r="A173" s="266" t="s">
        <v>707</v>
      </c>
      <c r="B173" s="267">
        <v>30000</v>
      </c>
      <c r="C173" s="165">
        <f t="shared" si="7"/>
        <v>37500</v>
      </c>
      <c r="M173"/>
      <c r="N173"/>
      <c r="O173"/>
    </row>
    <row r="174" spans="1:15" x14ac:dyDescent="0.35">
      <c r="A174" s="136" t="s">
        <v>712</v>
      </c>
      <c r="B174" s="267">
        <v>35000</v>
      </c>
      <c r="C174" s="165">
        <f t="shared" si="7"/>
        <v>43750</v>
      </c>
      <c r="M174"/>
      <c r="N174"/>
      <c r="O174"/>
    </row>
    <row r="175" spans="1:15" x14ac:dyDescent="0.35">
      <c r="A175" s="136" t="s">
        <v>668</v>
      </c>
      <c r="B175" s="192">
        <v>2000</v>
      </c>
      <c r="C175" s="165">
        <f t="shared" si="7"/>
        <v>2500</v>
      </c>
      <c r="M175"/>
      <c r="N175"/>
      <c r="O175"/>
    </row>
    <row r="176" spans="1:15" x14ac:dyDescent="0.35">
      <c r="A176" s="136" t="s">
        <v>490</v>
      </c>
      <c r="B176" s="192">
        <v>1000</v>
      </c>
      <c r="C176" s="165">
        <f t="shared" si="7"/>
        <v>1250</v>
      </c>
      <c r="M176"/>
      <c r="N176"/>
      <c r="O176"/>
    </row>
    <row r="177" spans="1:15" x14ac:dyDescent="0.35">
      <c r="A177" s="220" t="s">
        <v>340</v>
      </c>
      <c r="B177" s="221">
        <v>4000</v>
      </c>
      <c r="C177" s="185">
        <f t="shared" si="7"/>
        <v>5000</v>
      </c>
      <c r="M177"/>
      <c r="N177"/>
      <c r="O177"/>
    </row>
    <row r="178" spans="1:15" x14ac:dyDescent="0.35">
      <c r="A178" s="220" t="s">
        <v>346</v>
      </c>
      <c r="B178" s="221">
        <v>1750</v>
      </c>
      <c r="C178" s="185">
        <f t="shared" si="7"/>
        <v>2187.5</v>
      </c>
      <c r="M178"/>
      <c r="N178"/>
      <c r="O178"/>
    </row>
    <row r="179" spans="1:15" x14ac:dyDescent="0.35">
      <c r="A179" s="220" t="s">
        <v>470</v>
      </c>
      <c r="B179" s="221">
        <v>800</v>
      </c>
      <c r="C179" s="185">
        <f t="shared" si="7"/>
        <v>1000</v>
      </c>
      <c r="M179"/>
      <c r="N179"/>
      <c r="O179"/>
    </row>
    <row r="180" spans="1:15" ht="31" x14ac:dyDescent="0.35">
      <c r="A180" s="136" t="s">
        <v>652</v>
      </c>
      <c r="B180" s="192">
        <v>200000</v>
      </c>
      <c r="C180" s="165">
        <f t="shared" si="7"/>
        <v>250000</v>
      </c>
      <c r="M180"/>
      <c r="N180"/>
      <c r="O180"/>
    </row>
    <row r="181" spans="1:15" x14ac:dyDescent="0.35">
      <c r="A181" s="266" t="s">
        <v>714</v>
      </c>
      <c r="B181" s="267">
        <v>20000</v>
      </c>
      <c r="C181" s="165">
        <f t="shared" si="7"/>
        <v>25000</v>
      </c>
      <c r="M181"/>
      <c r="N181"/>
      <c r="O181"/>
    </row>
    <row r="182" spans="1:15" x14ac:dyDescent="0.35">
      <c r="A182" s="136" t="s">
        <v>669</v>
      </c>
      <c r="B182" s="192">
        <v>2000</v>
      </c>
      <c r="C182" s="165">
        <f t="shared" ref="C182:C213" si="8">B182*1.25</f>
        <v>2500</v>
      </c>
      <c r="M182"/>
      <c r="N182"/>
      <c r="O182"/>
    </row>
    <row r="183" spans="1:15" x14ac:dyDescent="0.35">
      <c r="A183" s="220" t="s">
        <v>460</v>
      </c>
      <c r="B183" s="221">
        <v>30000</v>
      </c>
      <c r="C183" s="185">
        <f t="shared" si="8"/>
        <v>37500</v>
      </c>
      <c r="M183"/>
      <c r="N183"/>
      <c r="O183"/>
    </row>
    <row r="184" spans="1:15" x14ac:dyDescent="0.35">
      <c r="A184" s="220" t="s">
        <v>332</v>
      </c>
      <c r="B184" s="221">
        <v>58333</v>
      </c>
      <c r="C184" s="185">
        <f t="shared" si="8"/>
        <v>72916.25</v>
      </c>
      <c r="M184"/>
      <c r="N184"/>
      <c r="O184"/>
    </row>
    <row r="185" spans="1:15" x14ac:dyDescent="0.35">
      <c r="A185" s="220" t="s">
        <v>461</v>
      </c>
      <c r="B185" s="223">
        <v>46000</v>
      </c>
      <c r="C185" s="185">
        <f t="shared" si="8"/>
        <v>57500</v>
      </c>
      <c r="M185"/>
      <c r="N185"/>
      <c r="O185"/>
    </row>
    <row r="186" spans="1:15" x14ac:dyDescent="0.35">
      <c r="A186" s="220" t="s">
        <v>302</v>
      </c>
      <c r="B186" s="223">
        <v>30000</v>
      </c>
      <c r="C186" s="185">
        <f t="shared" si="8"/>
        <v>37500</v>
      </c>
      <c r="M186"/>
      <c r="N186"/>
      <c r="O186"/>
    </row>
    <row r="187" spans="1:15" x14ac:dyDescent="0.35">
      <c r="A187" s="220" t="s">
        <v>250</v>
      </c>
      <c r="B187" s="221">
        <v>60000</v>
      </c>
      <c r="C187" s="185">
        <f t="shared" si="8"/>
        <v>75000</v>
      </c>
      <c r="M187"/>
      <c r="N187"/>
      <c r="O187"/>
    </row>
    <row r="188" spans="1:15" x14ac:dyDescent="0.35">
      <c r="A188" s="220" t="s">
        <v>249</v>
      </c>
      <c r="B188" s="223">
        <v>40000</v>
      </c>
      <c r="C188" s="185">
        <f t="shared" si="8"/>
        <v>50000</v>
      </c>
      <c r="M188"/>
      <c r="N188"/>
      <c r="O188"/>
    </row>
    <row r="189" spans="1:15" x14ac:dyDescent="0.35">
      <c r="A189" s="220" t="s">
        <v>245</v>
      </c>
      <c r="B189" s="223">
        <v>1200000</v>
      </c>
      <c r="C189" s="185">
        <f t="shared" si="8"/>
        <v>1500000</v>
      </c>
      <c r="M189"/>
      <c r="N189"/>
      <c r="O189"/>
    </row>
    <row r="190" spans="1:15" x14ac:dyDescent="0.35">
      <c r="A190" s="220" t="s">
        <v>336</v>
      </c>
      <c r="B190" s="221">
        <v>700</v>
      </c>
      <c r="C190" s="185">
        <f t="shared" si="8"/>
        <v>875</v>
      </c>
      <c r="M190"/>
      <c r="N190"/>
      <c r="O190"/>
    </row>
    <row r="191" spans="1:15" x14ac:dyDescent="0.35">
      <c r="A191" s="266" t="s">
        <v>767</v>
      </c>
      <c r="B191" s="267">
        <v>80000</v>
      </c>
      <c r="C191" s="165">
        <f t="shared" si="8"/>
        <v>100000</v>
      </c>
      <c r="M191"/>
      <c r="N191"/>
      <c r="O191"/>
    </row>
    <row r="192" spans="1:15" x14ac:dyDescent="0.35">
      <c r="A192" s="136" t="s">
        <v>768</v>
      </c>
      <c r="B192" s="267">
        <v>5000</v>
      </c>
      <c r="C192" s="165">
        <f t="shared" si="8"/>
        <v>6250</v>
      </c>
      <c r="M192"/>
      <c r="N192"/>
      <c r="O192"/>
    </row>
    <row r="193" spans="1:18" x14ac:dyDescent="0.35">
      <c r="A193" s="266" t="s">
        <v>769</v>
      </c>
      <c r="B193" s="267"/>
      <c r="C193" s="165">
        <f t="shared" si="8"/>
        <v>0</v>
      </c>
      <c r="M193"/>
      <c r="N193"/>
      <c r="O193"/>
    </row>
    <row r="194" spans="1:18" x14ac:dyDescent="0.35">
      <c r="A194" s="266" t="s">
        <v>770</v>
      </c>
      <c r="B194" s="267"/>
      <c r="C194" s="165">
        <f t="shared" si="8"/>
        <v>0</v>
      </c>
      <c r="M194"/>
      <c r="N194"/>
      <c r="O194"/>
    </row>
    <row r="195" spans="1:18" x14ac:dyDescent="0.35">
      <c r="A195" s="266" t="s">
        <v>772</v>
      </c>
      <c r="B195" s="267"/>
      <c r="C195" s="165">
        <f t="shared" si="8"/>
        <v>0</v>
      </c>
      <c r="M195"/>
      <c r="N195"/>
      <c r="O195"/>
    </row>
    <row r="196" spans="1:18" x14ac:dyDescent="0.35">
      <c r="A196" s="266" t="s">
        <v>771</v>
      </c>
      <c r="B196" s="267"/>
      <c r="C196" s="165">
        <f t="shared" si="8"/>
        <v>0</v>
      </c>
      <c r="M196"/>
      <c r="N196"/>
      <c r="O196"/>
    </row>
    <row r="197" spans="1:18" ht="31" x14ac:dyDescent="0.35">
      <c r="A197" s="266" t="s">
        <v>773</v>
      </c>
      <c r="B197" s="267"/>
      <c r="C197" s="165">
        <f t="shared" si="8"/>
        <v>0</v>
      </c>
      <c r="M197"/>
      <c r="N197"/>
      <c r="O197"/>
    </row>
    <row r="198" spans="1:18" x14ac:dyDescent="0.35">
      <c r="A198" s="266" t="s">
        <v>774</v>
      </c>
      <c r="B198" s="267"/>
      <c r="C198" s="165">
        <f t="shared" si="8"/>
        <v>0</v>
      </c>
      <c r="M198"/>
      <c r="N198"/>
      <c r="O198"/>
    </row>
    <row r="199" spans="1:18" x14ac:dyDescent="0.35">
      <c r="A199" s="266" t="s">
        <v>775</v>
      </c>
      <c r="B199" s="267"/>
      <c r="C199" s="165">
        <f t="shared" si="8"/>
        <v>0</v>
      </c>
      <c r="M199"/>
      <c r="N199"/>
      <c r="O199"/>
    </row>
    <row r="200" spans="1:18" x14ac:dyDescent="0.35">
      <c r="A200" s="266" t="s">
        <v>776</v>
      </c>
      <c r="B200" s="267"/>
      <c r="C200" s="165">
        <f t="shared" si="8"/>
        <v>0</v>
      </c>
      <c r="M200"/>
      <c r="N200"/>
      <c r="O200"/>
    </row>
    <row r="201" spans="1:18" x14ac:dyDescent="0.35">
      <c r="A201" s="266" t="s">
        <v>777</v>
      </c>
      <c r="B201" s="267"/>
      <c r="C201" s="165">
        <f t="shared" si="8"/>
        <v>0</v>
      </c>
      <c r="M201"/>
      <c r="N201"/>
      <c r="O201"/>
    </row>
    <row r="202" spans="1:18" x14ac:dyDescent="0.35">
      <c r="A202" s="266" t="s">
        <v>778</v>
      </c>
      <c r="B202" s="267"/>
      <c r="C202" s="165">
        <f t="shared" si="8"/>
        <v>0</v>
      </c>
      <c r="M202"/>
      <c r="N202"/>
      <c r="O202"/>
    </row>
    <row r="203" spans="1:18" x14ac:dyDescent="0.35">
      <c r="A203" s="136" t="s">
        <v>779</v>
      </c>
      <c r="B203" s="267"/>
      <c r="C203" s="165">
        <f t="shared" si="8"/>
        <v>0</v>
      </c>
      <c r="M203"/>
      <c r="N203"/>
      <c r="O203"/>
    </row>
    <row r="204" spans="1:18" x14ac:dyDescent="0.35">
      <c r="A204" s="266" t="s">
        <v>780</v>
      </c>
      <c r="B204" s="267"/>
      <c r="C204" s="165">
        <f t="shared" si="8"/>
        <v>0</v>
      </c>
      <c r="M204"/>
      <c r="N204"/>
      <c r="O204"/>
      <c r="P204"/>
      <c r="Q204"/>
      <c r="R204"/>
    </row>
    <row r="205" spans="1:18" x14ac:dyDescent="0.35">
      <c r="A205" s="266" t="s">
        <v>781</v>
      </c>
      <c r="B205" s="267"/>
      <c r="C205" s="165">
        <f t="shared" si="8"/>
        <v>0</v>
      </c>
      <c r="M205"/>
      <c r="N205"/>
      <c r="O205"/>
      <c r="P205"/>
      <c r="Q205"/>
      <c r="R205"/>
    </row>
    <row r="206" spans="1:18" x14ac:dyDescent="0.35">
      <c r="A206" s="266" t="s">
        <v>782</v>
      </c>
      <c r="B206" s="267"/>
      <c r="C206" s="165">
        <f t="shared" si="8"/>
        <v>0</v>
      </c>
      <c r="M206"/>
      <c r="N206"/>
      <c r="O206"/>
      <c r="P206"/>
      <c r="Q206"/>
      <c r="R206"/>
    </row>
    <row r="207" spans="1:18" x14ac:dyDescent="0.35">
      <c r="A207" s="264" t="s">
        <v>794</v>
      </c>
      <c r="B207" s="267">
        <v>12000</v>
      </c>
      <c r="C207" s="165">
        <f t="shared" si="8"/>
        <v>15000</v>
      </c>
      <c r="M207"/>
      <c r="N207"/>
      <c r="O207"/>
      <c r="P207"/>
      <c r="Q207"/>
      <c r="R207"/>
    </row>
    <row r="208" spans="1:18" x14ac:dyDescent="0.35">
      <c r="A208" s="122" t="s">
        <v>795</v>
      </c>
      <c r="B208" s="267">
        <v>30000</v>
      </c>
      <c r="C208" s="165">
        <f t="shared" si="8"/>
        <v>37500</v>
      </c>
      <c r="M208"/>
      <c r="N208"/>
      <c r="O208"/>
      <c r="P208"/>
      <c r="Q208"/>
      <c r="R208"/>
    </row>
    <row r="209" spans="1:18" x14ac:dyDescent="0.35">
      <c r="A209" s="264" t="s">
        <v>805</v>
      </c>
      <c r="B209" s="267">
        <v>450000</v>
      </c>
      <c r="C209" s="165">
        <f t="shared" si="8"/>
        <v>562500</v>
      </c>
      <c r="M209"/>
      <c r="N209"/>
      <c r="O209"/>
      <c r="P209"/>
      <c r="Q209"/>
      <c r="R209"/>
    </row>
    <row r="210" spans="1:18" x14ac:dyDescent="0.35">
      <c r="A210" s="122" t="s">
        <v>806</v>
      </c>
      <c r="B210" s="267">
        <v>250000</v>
      </c>
      <c r="C210" s="165">
        <f t="shared" si="8"/>
        <v>312500</v>
      </c>
      <c r="M210"/>
      <c r="N210"/>
      <c r="O210"/>
      <c r="P210"/>
      <c r="Q210"/>
      <c r="R210"/>
    </row>
    <row r="211" spans="1:18" x14ac:dyDescent="0.35">
      <c r="A211" s="264" t="s">
        <v>807</v>
      </c>
      <c r="B211" s="267">
        <v>65000</v>
      </c>
      <c r="C211" s="165">
        <f t="shared" si="8"/>
        <v>81250</v>
      </c>
      <c r="M211"/>
      <c r="N211"/>
      <c r="O211"/>
      <c r="P211"/>
      <c r="Q211"/>
      <c r="R211"/>
    </row>
    <row r="212" spans="1:18" x14ac:dyDescent="0.35">
      <c r="A212" s="264" t="s">
        <v>808</v>
      </c>
      <c r="B212" s="267">
        <v>250000</v>
      </c>
      <c r="C212" s="165">
        <f t="shared" si="8"/>
        <v>312500</v>
      </c>
      <c r="M212"/>
      <c r="N212"/>
      <c r="O212"/>
      <c r="P212"/>
      <c r="Q212"/>
      <c r="R212"/>
    </row>
    <row r="213" spans="1:18" x14ac:dyDescent="0.35">
      <c r="A213" t="s">
        <v>809</v>
      </c>
      <c r="B213" s="267"/>
      <c r="C213" s="165">
        <f t="shared" si="8"/>
        <v>0</v>
      </c>
      <c r="M213"/>
      <c r="N213"/>
      <c r="O213"/>
      <c r="P213"/>
      <c r="Q213"/>
      <c r="R213"/>
    </row>
    <row r="214" spans="1:18" x14ac:dyDescent="0.35">
      <c r="A214" s="266" t="s">
        <v>810</v>
      </c>
      <c r="B214" s="267">
        <v>350000</v>
      </c>
      <c r="C214" s="165">
        <f t="shared" ref="C214:C245" si="9">B214*1.25</f>
        <v>437500</v>
      </c>
      <c r="M214"/>
      <c r="N214"/>
      <c r="O214"/>
      <c r="P214"/>
      <c r="Q214"/>
      <c r="R214"/>
    </row>
    <row r="215" spans="1:18" x14ac:dyDescent="0.35">
      <c r="A215" s="136" t="s">
        <v>811</v>
      </c>
      <c r="B215" s="267">
        <v>5000</v>
      </c>
      <c r="C215" s="165">
        <f t="shared" si="9"/>
        <v>6250</v>
      </c>
      <c r="M215"/>
      <c r="N215"/>
      <c r="O215"/>
      <c r="P215"/>
      <c r="Q215"/>
      <c r="R215"/>
    </row>
    <row r="216" spans="1:18" x14ac:dyDescent="0.35">
      <c r="M216"/>
      <c r="N216"/>
      <c r="O216"/>
      <c r="P216"/>
      <c r="Q216"/>
      <c r="R216"/>
    </row>
    <row r="217" spans="1:18" x14ac:dyDescent="0.35">
      <c r="M217"/>
      <c r="N217"/>
      <c r="O217"/>
      <c r="P217"/>
      <c r="Q217"/>
      <c r="R217"/>
    </row>
    <row r="218" spans="1:18" x14ac:dyDescent="0.35">
      <c r="M218"/>
      <c r="N218"/>
      <c r="O218"/>
      <c r="P218"/>
      <c r="Q218"/>
      <c r="R218"/>
    </row>
    <row r="219" spans="1:18" x14ac:dyDescent="0.35">
      <c r="M219"/>
      <c r="N219"/>
      <c r="O219"/>
      <c r="P219"/>
      <c r="Q219"/>
      <c r="R219"/>
    </row>
    <row r="220" spans="1:18" x14ac:dyDescent="0.35">
      <c r="M220"/>
      <c r="N220"/>
      <c r="O220"/>
      <c r="P220"/>
      <c r="Q220"/>
      <c r="R220"/>
    </row>
    <row r="221" spans="1:18" x14ac:dyDescent="0.35">
      <c r="M221"/>
      <c r="N221"/>
      <c r="O221"/>
      <c r="P221"/>
      <c r="Q221"/>
      <c r="R221"/>
    </row>
    <row r="222" spans="1:18" x14ac:dyDescent="0.35">
      <c r="M222"/>
      <c r="N222"/>
      <c r="O222"/>
      <c r="P222"/>
      <c r="Q222"/>
      <c r="R222"/>
    </row>
    <row r="223" spans="1:18" x14ac:dyDescent="0.35">
      <c r="M223"/>
      <c r="N223"/>
      <c r="O223"/>
      <c r="P223"/>
      <c r="Q223"/>
      <c r="R223"/>
    </row>
    <row r="224" spans="1:18" x14ac:dyDescent="0.35">
      <c r="M224"/>
      <c r="N224"/>
      <c r="O224"/>
      <c r="P224"/>
      <c r="Q224"/>
      <c r="R224"/>
    </row>
    <row r="225" spans="13:18" x14ac:dyDescent="0.35">
      <c r="M225"/>
      <c r="N225"/>
      <c r="O225"/>
      <c r="P225"/>
      <c r="Q225"/>
      <c r="R225"/>
    </row>
    <row r="226" spans="13:18" x14ac:dyDescent="0.35">
      <c r="M226"/>
      <c r="N226"/>
      <c r="O226"/>
      <c r="P226"/>
      <c r="Q226"/>
      <c r="R226"/>
    </row>
    <row r="227" spans="13:18" x14ac:dyDescent="0.35">
      <c r="M227"/>
      <c r="N227"/>
      <c r="O227"/>
      <c r="P227"/>
      <c r="Q227"/>
      <c r="R227"/>
    </row>
    <row r="228" spans="13:18" x14ac:dyDescent="0.35">
      <c r="M228"/>
      <c r="N228"/>
      <c r="O228"/>
      <c r="P228"/>
      <c r="Q228"/>
      <c r="R228"/>
    </row>
    <row r="229" spans="13:18" x14ac:dyDescent="0.35">
      <c r="M229"/>
      <c r="N229"/>
      <c r="O229"/>
      <c r="P229"/>
      <c r="Q229"/>
      <c r="R229"/>
    </row>
    <row r="230" spans="13:18" x14ac:dyDescent="0.35">
      <c r="M230"/>
      <c r="N230"/>
      <c r="O230"/>
      <c r="P230"/>
      <c r="Q230"/>
      <c r="R230"/>
    </row>
    <row r="231" spans="13:18" x14ac:dyDescent="0.35">
      <c r="M231"/>
      <c r="N231"/>
      <c r="O231"/>
      <c r="P231"/>
      <c r="Q231"/>
      <c r="R231"/>
    </row>
    <row r="232" spans="13:18" x14ac:dyDescent="0.35">
      <c r="M232"/>
      <c r="N232"/>
      <c r="O232"/>
      <c r="P232"/>
      <c r="Q232"/>
      <c r="R232"/>
    </row>
    <row r="233" spans="13:18" x14ac:dyDescent="0.35">
      <c r="M233"/>
      <c r="N233"/>
      <c r="O233"/>
      <c r="P233"/>
      <c r="Q233"/>
      <c r="R233"/>
    </row>
    <row r="234" spans="13:18" x14ac:dyDescent="0.35">
      <c r="M234"/>
      <c r="N234"/>
      <c r="O234"/>
      <c r="P234"/>
      <c r="Q234"/>
      <c r="R234"/>
    </row>
    <row r="235" spans="13:18" x14ac:dyDescent="0.35">
      <c r="M235"/>
      <c r="N235"/>
      <c r="O235"/>
      <c r="P235"/>
      <c r="Q235"/>
      <c r="R235"/>
    </row>
    <row r="236" spans="13:18" x14ac:dyDescent="0.35">
      <c r="M236"/>
      <c r="N236"/>
      <c r="O236"/>
      <c r="P236"/>
      <c r="Q236"/>
      <c r="R236"/>
    </row>
    <row r="237" spans="13:18" x14ac:dyDescent="0.35">
      <c r="M237"/>
      <c r="N237"/>
      <c r="O237"/>
      <c r="P237"/>
      <c r="Q237"/>
      <c r="R237"/>
    </row>
    <row r="238" spans="13:18" x14ac:dyDescent="0.35">
      <c r="M238"/>
      <c r="N238"/>
      <c r="O238"/>
      <c r="P238"/>
      <c r="Q238"/>
      <c r="R238"/>
    </row>
    <row r="239" spans="13:18" x14ac:dyDescent="0.35">
      <c r="M239"/>
      <c r="N239"/>
      <c r="O239"/>
      <c r="P239"/>
      <c r="Q239"/>
      <c r="R239"/>
    </row>
    <row r="240" spans="13:18" x14ac:dyDescent="0.35">
      <c r="M240"/>
      <c r="N240"/>
      <c r="O240"/>
      <c r="P240"/>
      <c r="Q240"/>
      <c r="R240"/>
    </row>
    <row r="241" spans="13:18" x14ac:dyDescent="0.35">
      <c r="M241"/>
      <c r="N241"/>
      <c r="O241"/>
      <c r="P241"/>
      <c r="Q241"/>
      <c r="R241"/>
    </row>
    <row r="242" spans="13:18" x14ac:dyDescent="0.35">
      <c r="M242"/>
      <c r="N242"/>
      <c r="O242"/>
      <c r="P242"/>
      <c r="Q242"/>
      <c r="R242"/>
    </row>
    <row r="243" spans="13:18" x14ac:dyDescent="0.35">
      <c r="M243"/>
      <c r="N243"/>
      <c r="O243"/>
      <c r="P243"/>
      <c r="Q243"/>
      <c r="R243"/>
    </row>
    <row r="244" spans="13:18" x14ac:dyDescent="0.35">
      <c r="M244"/>
      <c r="N244"/>
      <c r="O244"/>
      <c r="P244"/>
      <c r="Q244"/>
      <c r="R244"/>
    </row>
    <row r="245" spans="13:18" x14ac:dyDescent="0.35">
      <c r="M245"/>
      <c r="N245"/>
      <c r="O245"/>
      <c r="P245"/>
      <c r="Q245"/>
      <c r="R245"/>
    </row>
    <row r="246" spans="13:18" x14ac:dyDescent="0.35">
      <c r="M246"/>
      <c r="N246"/>
      <c r="O246"/>
      <c r="P246"/>
      <c r="Q246"/>
      <c r="R246"/>
    </row>
    <row r="247" spans="13:18" x14ac:dyDescent="0.35">
      <c r="M247"/>
      <c r="N247"/>
      <c r="O247"/>
      <c r="P247"/>
      <c r="Q247"/>
      <c r="R247"/>
    </row>
    <row r="248" spans="13:18" x14ac:dyDescent="0.35">
      <c r="M248"/>
      <c r="N248"/>
      <c r="O248"/>
      <c r="P248"/>
      <c r="Q248"/>
      <c r="R248"/>
    </row>
    <row r="249" spans="13:18" x14ac:dyDescent="0.35">
      <c r="M249"/>
      <c r="N249"/>
      <c r="O249"/>
      <c r="P249"/>
      <c r="Q249"/>
      <c r="R249"/>
    </row>
    <row r="250" spans="13:18" x14ac:dyDescent="0.35">
      <c r="M250"/>
      <c r="N250"/>
      <c r="O250"/>
      <c r="P250"/>
      <c r="Q250"/>
      <c r="R250"/>
    </row>
    <row r="251" spans="13:18" x14ac:dyDescent="0.35">
      <c r="M251"/>
      <c r="N251"/>
      <c r="O251"/>
      <c r="P251"/>
      <c r="Q251"/>
      <c r="R251"/>
    </row>
    <row r="252" spans="13:18" x14ac:dyDescent="0.35">
      <c r="M252"/>
      <c r="N252"/>
      <c r="O252"/>
      <c r="P252"/>
      <c r="Q252"/>
      <c r="R252"/>
    </row>
    <row r="253" spans="13:18" x14ac:dyDescent="0.35">
      <c r="M253"/>
      <c r="N253"/>
      <c r="O253"/>
      <c r="P253"/>
      <c r="Q253"/>
      <c r="R253"/>
    </row>
    <row r="254" spans="13:18" x14ac:dyDescent="0.35">
      <c r="M254"/>
      <c r="N254"/>
      <c r="O254"/>
      <c r="P254"/>
      <c r="Q254"/>
      <c r="R254"/>
    </row>
    <row r="255" spans="13:18" x14ac:dyDescent="0.35">
      <c r="M255"/>
      <c r="N255"/>
      <c r="O255"/>
      <c r="P255"/>
      <c r="Q255"/>
      <c r="R255"/>
    </row>
    <row r="256" spans="13:18" x14ac:dyDescent="0.35">
      <c r="M256"/>
      <c r="N256"/>
      <c r="O256"/>
      <c r="P256"/>
      <c r="Q256"/>
      <c r="R256"/>
    </row>
    <row r="257" spans="13:18" x14ac:dyDescent="0.35">
      <c r="M257"/>
      <c r="N257"/>
      <c r="O257"/>
      <c r="P257"/>
      <c r="Q257"/>
      <c r="R257"/>
    </row>
    <row r="258" spans="13:18" x14ac:dyDescent="0.35">
      <c r="M258"/>
      <c r="N258"/>
      <c r="O258"/>
      <c r="P258"/>
      <c r="Q258"/>
      <c r="R258"/>
    </row>
    <row r="259" spans="13:18" x14ac:dyDescent="0.35">
      <c r="M259"/>
      <c r="N259"/>
      <c r="O259"/>
      <c r="P259"/>
      <c r="Q259"/>
      <c r="R259"/>
    </row>
    <row r="260" spans="13:18" x14ac:dyDescent="0.35">
      <c r="M260"/>
      <c r="N260"/>
      <c r="O260"/>
      <c r="P260"/>
      <c r="Q260"/>
      <c r="R260"/>
    </row>
    <row r="261" spans="13:18" x14ac:dyDescent="0.35">
      <c r="M261"/>
      <c r="N261"/>
      <c r="O261"/>
      <c r="P261"/>
      <c r="Q261"/>
      <c r="R261"/>
    </row>
    <row r="262" spans="13:18" x14ac:dyDescent="0.35">
      <c r="M262"/>
      <c r="N262"/>
      <c r="O262"/>
      <c r="P262"/>
      <c r="Q262"/>
      <c r="R262"/>
    </row>
    <row r="263" spans="13:18" x14ac:dyDescent="0.35">
      <c r="M263"/>
      <c r="N263"/>
      <c r="O263"/>
      <c r="P263"/>
      <c r="Q263"/>
      <c r="R263"/>
    </row>
    <row r="264" spans="13:18" x14ac:dyDescent="0.35">
      <c r="M264"/>
      <c r="N264"/>
      <c r="O264"/>
      <c r="P264"/>
      <c r="Q264"/>
      <c r="R264"/>
    </row>
    <row r="265" spans="13:18" x14ac:dyDescent="0.35">
      <c r="M265"/>
      <c r="N265"/>
      <c r="O265"/>
      <c r="P265"/>
      <c r="Q265"/>
      <c r="R265"/>
    </row>
    <row r="266" spans="13:18" x14ac:dyDescent="0.35">
      <c r="M266"/>
      <c r="N266"/>
      <c r="O266"/>
      <c r="P266"/>
      <c r="Q266"/>
      <c r="R266"/>
    </row>
    <row r="267" spans="13:18" x14ac:dyDescent="0.35">
      <c r="M267"/>
      <c r="N267"/>
      <c r="O267"/>
      <c r="P267"/>
      <c r="Q267"/>
      <c r="R267"/>
    </row>
    <row r="268" spans="13:18" x14ac:dyDescent="0.35">
      <c r="M268"/>
      <c r="N268"/>
      <c r="O268"/>
      <c r="P268"/>
      <c r="Q268"/>
      <c r="R268"/>
    </row>
    <row r="269" spans="13:18" x14ac:dyDescent="0.35">
      <c r="M269"/>
      <c r="N269"/>
      <c r="O269"/>
      <c r="P269"/>
      <c r="Q269"/>
      <c r="R269"/>
    </row>
    <row r="270" spans="13:18" x14ac:dyDescent="0.35">
      <c r="M270"/>
      <c r="N270"/>
      <c r="O270"/>
      <c r="P270"/>
      <c r="Q270"/>
      <c r="R270"/>
    </row>
    <row r="271" spans="13:18" x14ac:dyDescent="0.35">
      <c r="M271"/>
      <c r="N271"/>
      <c r="O271"/>
      <c r="P271"/>
      <c r="Q271"/>
      <c r="R271"/>
    </row>
    <row r="272" spans="13:18" x14ac:dyDescent="0.35">
      <c r="M272"/>
      <c r="N272"/>
      <c r="O272"/>
      <c r="P272"/>
      <c r="Q272"/>
      <c r="R272"/>
    </row>
    <row r="273" spans="13:18" x14ac:dyDescent="0.35">
      <c r="M273"/>
      <c r="N273"/>
      <c r="O273"/>
      <c r="P273"/>
      <c r="Q273"/>
      <c r="R273"/>
    </row>
    <row r="274" spans="13:18" x14ac:dyDescent="0.35">
      <c r="M274"/>
      <c r="N274"/>
      <c r="O274"/>
      <c r="P274"/>
      <c r="Q274"/>
      <c r="R274"/>
    </row>
    <row r="275" spans="13:18" x14ac:dyDescent="0.35">
      <c r="M275"/>
      <c r="N275"/>
      <c r="O275"/>
      <c r="P275"/>
      <c r="Q275"/>
      <c r="R275"/>
    </row>
    <row r="276" spans="13:18" x14ac:dyDescent="0.35">
      <c r="M276"/>
      <c r="N276"/>
      <c r="O276"/>
      <c r="P276"/>
      <c r="Q276"/>
      <c r="R276"/>
    </row>
    <row r="277" spans="13:18" x14ac:dyDescent="0.35">
      <c r="M277"/>
      <c r="N277"/>
      <c r="O277"/>
      <c r="P277"/>
      <c r="Q277"/>
      <c r="R277"/>
    </row>
    <row r="278" spans="13:18" x14ac:dyDescent="0.35">
      <c r="M278"/>
      <c r="N278"/>
      <c r="O278"/>
      <c r="P278"/>
      <c r="Q278"/>
      <c r="R278"/>
    </row>
    <row r="279" spans="13:18" x14ac:dyDescent="0.35">
      <c r="M279"/>
      <c r="N279"/>
      <c r="O279"/>
      <c r="P279"/>
      <c r="Q279"/>
      <c r="R279"/>
    </row>
    <row r="280" spans="13:18" x14ac:dyDescent="0.35">
      <c r="M280"/>
      <c r="N280"/>
      <c r="O280"/>
      <c r="P280"/>
      <c r="Q280"/>
      <c r="R280"/>
    </row>
    <row r="281" spans="13:18" x14ac:dyDescent="0.35">
      <c r="M281"/>
      <c r="N281"/>
      <c r="O281"/>
      <c r="P281"/>
      <c r="Q281"/>
      <c r="R281"/>
    </row>
    <row r="282" spans="13:18" x14ac:dyDescent="0.35">
      <c r="M282"/>
      <c r="N282"/>
      <c r="O282"/>
      <c r="P282"/>
      <c r="Q282"/>
      <c r="R282"/>
    </row>
    <row r="283" spans="13:18" x14ac:dyDescent="0.35">
      <c r="M283"/>
      <c r="N283"/>
      <c r="O283"/>
      <c r="P283"/>
      <c r="Q283"/>
      <c r="R283"/>
    </row>
    <row r="284" spans="13:18" x14ac:dyDescent="0.35">
      <c r="M284"/>
      <c r="N284"/>
      <c r="O284"/>
      <c r="P284"/>
      <c r="Q284"/>
      <c r="R284"/>
    </row>
    <row r="285" spans="13:18" x14ac:dyDescent="0.35">
      <c r="M285"/>
      <c r="N285"/>
      <c r="O285"/>
      <c r="P285"/>
      <c r="Q285"/>
      <c r="R285"/>
    </row>
    <row r="286" spans="13:18" x14ac:dyDescent="0.35">
      <c r="M286"/>
      <c r="N286"/>
      <c r="O286"/>
      <c r="P286"/>
      <c r="Q286"/>
      <c r="R286"/>
    </row>
    <row r="287" spans="13:18" x14ac:dyDescent="0.35">
      <c r="M287"/>
      <c r="N287"/>
      <c r="O287"/>
      <c r="P287"/>
      <c r="Q287"/>
      <c r="R287"/>
    </row>
    <row r="288" spans="13:18" x14ac:dyDescent="0.35">
      <c r="M288"/>
      <c r="N288"/>
      <c r="O288"/>
      <c r="P288"/>
      <c r="Q288"/>
      <c r="R288"/>
    </row>
    <row r="289" spans="13:18" x14ac:dyDescent="0.35">
      <c r="M289"/>
      <c r="N289"/>
      <c r="O289"/>
      <c r="P289"/>
      <c r="Q289"/>
      <c r="R289"/>
    </row>
    <row r="290" spans="13:18" x14ac:dyDescent="0.35">
      <c r="M290"/>
      <c r="N290"/>
      <c r="O290"/>
      <c r="P290"/>
      <c r="Q290"/>
      <c r="R290"/>
    </row>
    <row r="291" spans="13:18" x14ac:dyDescent="0.35">
      <c r="M291"/>
      <c r="N291"/>
      <c r="O291"/>
      <c r="P291"/>
      <c r="Q291"/>
      <c r="R291"/>
    </row>
    <row r="292" spans="13:18" x14ac:dyDescent="0.35">
      <c r="M292"/>
      <c r="N292"/>
      <c r="O292"/>
      <c r="P292"/>
      <c r="Q292"/>
      <c r="R292"/>
    </row>
    <row r="293" spans="13:18" x14ac:dyDescent="0.35">
      <c r="M293"/>
      <c r="N293"/>
      <c r="O293"/>
      <c r="P293"/>
      <c r="Q293"/>
      <c r="R293"/>
    </row>
    <row r="294" spans="13:18" x14ac:dyDescent="0.35">
      <c r="M294"/>
      <c r="N294"/>
      <c r="O294"/>
      <c r="P294"/>
      <c r="Q294"/>
      <c r="R294"/>
    </row>
    <row r="295" spans="13:18" x14ac:dyDescent="0.35">
      <c r="M295"/>
      <c r="N295"/>
      <c r="O295"/>
      <c r="P295"/>
      <c r="Q295"/>
      <c r="R295"/>
    </row>
    <row r="296" spans="13:18" x14ac:dyDescent="0.35">
      <c r="M296"/>
      <c r="N296"/>
      <c r="O296"/>
      <c r="P296"/>
      <c r="Q296"/>
      <c r="R296"/>
    </row>
    <row r="297" spans="13:18" x14ac:dyDescent="0.35">
      <c r="M297"/>
      <c r="N297"/>
      <c r="O297"/>
      <c r="P297"/>
      <c r="Q297"/>
      <c r="R297"/>
    </row>
    <row r="298" spans="13:18" x14ac:dyDescent="0.35">
      <c r="M298"/>
      <c r="N298"/>
      <c r="O298"/>
      <c r="P298"/>
      <c r="Q298"/>
      <c r="R298"/>
    </row>
    <row r="299" spans="13:18" x14ac:dyDescent="0.35">
      <c r="M299"/>
      <c r="N299"/>
      <c r="O299"/>
      <c r="P299"/>
      <c r="Q299"/>
      <c r="R299"/>
    </row>
    <row r="300" spans="13:18" x14ac:dyDescent="0.35">
      <c r="M300"/>
      <c r="N300"/>
      <c r="O300"/>
      <c r="P300"/>
      <c r="Q300"/>
      <c r="R300"/>
    </row>
    <row r="301" spans="13:18" x14ac:dyDescent="0.35">
      <c r="M301"/>
      <c r="N301"/>
      <c r="O301"/>
      <c r="P301"/>
      <c r="Q301"/>
      <c r="R301"/>
    </row>
    <row r="302" spans="13:18" x14ac:dyDescent="0.35">
      <c r="M302"/>
      <c r="N302"/>
      <c r="O302"/>
      <c r="P302"/>
      <c r="Q302"/>
      <c r="R302"/>
    </row>
    <row r="303" spans="13:18" x14ac:dyDescent="0.35">
      <c r="M303"/>
      <c r="N303"/>
      <c r="O303"/>
      <c r="P303"/>
      <c r="Q303"/>
      <c r="R303"/>
    </row>
    <row r="304" spans="13:18" x14ac:dyDescent="0.35">
      <c r="M304"/>
      <c r="N304"/>
      <c r="O304"/>
      <c r="P304"/>
      <c r="Q304"/>
      <c r="R304"/>
    </row>
    <row r="305" spans="13:18" x14ac:dyDescent="0.35">
      <c r="M305"/>
      <c r="N305"/>
      <c r="O305"/>
      <c r="P305"/>
      <c r="Q305"/>
      <c r="R305"/>
    </row>
    <row r="306" spans="13:18" x14ac:dyDescent="0.35">
      <c r="M306"/>
      <c r="N306"/>
      <c r="O306"/>
      <c r="P306"/>
      <c r="Q306"/>
      <c r="R306"/>
    </row>
    <row r="307" spans="13:18" x14ac:dyDescent="0.35">
      <c r="M307"/>
      <c r="N307"/>
      <c r="O307"/>
      <c r="P307"/>
      <c r="Q307"/>
      <c r="R307"/>
    </row>
    <row r="308" spans="13:18" x14ac:dyDescent="0.35">
      <c r="M308"/>
      <c r="N308"/>
      <c r="O308"/>
      <c r="P308"/>
      <c r="Q308"/>
      <c r="R308"/>
    </row>
    <row r="309" spans="13:18" x14ac:dyDescent="0.35">
      <c r="M309"/>
      <c r="N309"/>
      <c r="O309"/>
      <c r="P309"/>
      <c r="Q309"/>
      <c r="R309"/>
    </row>
    <row r="310" spans="13:18" x14ac:dyDescent="0.35">
      <c r="M310"/>
      <c r="N310"/>
      <c r="O310"/>
      <c r="P310"/>
      <c r="Q310"/>
      <c r="R310"/>
    </row>
    <row r="311" spans="13:18" x14ac:dyDescent="0.35">
      <c r="M311"/>
      <c r="N311"/>
      <c r="O311"/>
      <c r="P311"/>
      <c r="Q311"/>
      <c r="R311"/>
    </row>
    <row r="312" spans="13:18" x14ac:dyDescent="0.35">
      <c r="M312"/>
      <c r="N312"/>
      <c r="O312"/>
      <c r="P312"/>
      <c r="Q312"/>
      <c r="R312"/>
    </row>
    <row r="313" spans="13:18" x14ac:dyDescent="0.35">
      <c r="M313"/>
      <c r="N313"/>
      <c r="O313"/>
      <c r="P313"/>
      <c r="Q313"/>
      <c r="R313"/>
    </row>
    <row r="314" spans="13:18" x14ac:dyDescent="0.35">
      <c r="M314"/>
      <c r="N314"/>
      <c r="O314"/>
      <c r="P314"/>
      <c r="Q314"/>
      <c r="R314"/>
    </row>
    <row r="315" spans="13:18" x14ac:dyDescent="0.35">
      <c r="M315"/>
      <c r="N315"/>
      <c r="O315"/>
      <c r="P315"/>
      <c r="Q315"/>
      <c r="R315"/>
    </row>
    <row r="316" spans="13:18" x14ac:dyDescent="0.35">
      <c r="M316"/>
      <c r="N316"/>
      <c r="O316"/>
      <c r="P316"/>
      <c r="Q316"/>
      <c r="R316"/>
    </row>
    <row r="317" spans="13:18" x14ac:dyDescent="0.35">
      <c r="M317"/>
      <c r="N317"/>
      <c r="O317"/>
      <c r="P317"/>
      <c r="Q317"/>
      <c r="R317"/>
    </row>
    <row r="318" spans="13:18" x14ac:dyDescent="0.35">
      <c r="M318"/>
      <c r="N318"/>
      <c r="O318"/>
      <c r="P318"/>
      <c r="Q318"/>
      <c r="R318"/>
    </row>
    <row r="319" spans="13:18" x14ac:dyDescent="0.35">
      <c r="M319"/>
      <c r="N319"/>
      <c r="O319"/>
      <c r="P319"/>
      <c r="Q319"/>
      <c r="R319"/>
    </row>
    <row r="320" spans="13:18" x14ac:dyDescent="0.35">
      <c r="M320"/>
      <c r="N320"/>
      <c r="O320"/>
      <c r="P320"/>
      <c r="Q320"/>
      <c r="R320"/>
    </row>
    <row r="321" spans="13:18" x14ac:dyDescent="0.35">
      <c r="M321"/>
      <c r="N321"/>
      <c r="O321"/>
      <c r="P321"/>
      <c r="Q321"/>
      <c r="R321"/>
    </row>
    <row r="322" spans="13:18" x14ac:dyDescent="0.35">
      <c r="M322"/>
      <c r="N322"/>
      <c r="O322"/>
      <c r="P322"/>
      <c r="Q322"/>
      <c r="R322"/>
    </row>
    <row r="323" spans="13:18" x14ac:dyDescent="0.35">
      <c r="M323"/>
      <c r="N323"/>
      <c r="O323"/>
      <c r="P323"/>
      <c r="Q323"/>
      <c r="R323"/>
    </row>
    <row r="324" spans="13:18" x14ac:dyDescent="0.35">
      <c r="M324"/>
      <c r="N324"/>
      <c r="O324"/>
      <c r="P324"/>
      <c r="Q324"/>
      <c r="R324"/>
    </row>
    <row r="325" spans="13:18" x14ac:dyDescent="0.35">
      <c r="M325"/>
      <c r="N325"/>
      <c r="O325"/>
      <c r="P325"/>
      <c r="Q325"/>
      <c r="R325"/>
    </row>
    <row r="326" spans="13:18" x14ac:dyDescent="0.35">
      <c r="M326"/>
      <c r="N326"/>
      <c r="O326"/>
      <c r="P326"/>
      <c r="Q326"/>
      <c r="R326"/>
    </row>
    <row r="327" spans="13:18" x14ac:dyDescent="0.35">
      <c r="M327"/>
      <c r="N327"/>
      <c r="O327"/>
      <c r="P327"/>
      <c r="Q327"/>
      <c r="R327"/>
    </row>
    <row r="328" spans="13:18" x14ac:dyDescent="0.35">
      <c r="M328"/>
      <c r="N328"/>
      <c r="O328"/>
    </row>
    <row r="329" spans="13:18" x14ac:dyDescent="0.35">
      <c r="M329"/>
      <c r="N329"/>
      <c r="O329"/>
    </row>
    <row r="330" spans="13:18" x14ac:dyDescent="0.35">
      <c r="M330"/>
      <c r="N330"/>
      <c r="O330"/>
    </row>
    <row r="331" spans="13:18" x14ac:dyDescent="0.35">
      <c r="M331"/>
      <c r="N331"/>
      <c r="O331"/>
    </row>
    <row r="332" spans="13:18" x14ac:dyDescent="0.35">
      <c r="M332"/>
      <c r="N332"/>
      <c r="O332"/>
    </row>
    <row r="333" spans="13:18" x14ac:dyDescent="0.35">
      <c r="M333"/>
      <c r="N333"/>
      <c r="O333"/>
    </row>
    <row r="334" spans="13:18" x14ac:dyDescent="0.35">
      <c r="M334"/>
      <c r="N334"/>
      <c r="O334"/>
    </row>
    <row r="335" spans="13:18" x14ac:dyDescent="0.35">
      <c r="M335"/>
      <c r="N335"/>
      <c r="O335"/>
    </row>
    <row r="336" spans="13:18" x14ac:dyDescent="0.35">
      <c r="M336"/>
      <c r="N336"/>
      <c r="O336"/>
    </row>
    <row r="337" spans="13:15" x14ac:dyDescent="0.35">
      <c r="M337"/>
      <c r="N337"/>
      <c r="O337"/>
    </row>
    <row r="338" spans="13:15" x14ac:dyDescent="0.35">
      <c r="M338"/>
      <c r="N338"/>
      <c r="O338"/>
    </row>
    <row r="339" spans="13:15" x14ac:dyDescent="0.35">
      <c r="M339"/>
      <c r="N339"/>
      <c r="O339"/>
    </row>
    <row r="340" spans="13:15" x14ac:dyDescent="0.35">
      <c r="M340"/>
      <c r="N340"/>
      <c r="O340"/>
    </row>
    <row r="341" spans="13:15" x14ac:dyDescent="0.35">
      <c r="M341"/>
      <c r="N341"/>
      <c r="O341"/>
    </row>
    <row r="342" spans="13:15" x14ac:dyDescent="0.35">
      <c r="M342"/>
      <c r="N342"/>
      <c r="O342"/>
    </row>
    <row r="343" spans="13:15" x14ac:dyDescent="0.35">
      <c r="M343"/>
      <c r="N343"/>
      <c r="O343"/>
    </row>
    <row r="344" spans="13:15" x14ac:dyDescent="0.35">
      <c r="M344"/>
      <c r="N344"/>
      <c r="O344"/>
    </row>
    <row r="345" spans="13:15" x14ac:dyDescent="0.35">
      <c r="M345"/>
      <c r="N345"/>
      <c r="O345"/>
    </row>
    <row r="346" spans="13:15" x14ac:dyDescent="0.35">
      <c r="M346"/>
      <c r="N346"/>
      <c r="O346"/>
    </row>
    <row r="347" spans="13:15" x14ac:dyDescent="0.35">
      <c r="M347"/>
      <c r="N347"/>
      <c r="O347"/>
    </row>
    <row r="348" spans="13:15" x14ac:dyDescent="0.35">
      <c r="M348"/>
      <c r="N348"/>
      <c r="O348"/>
    </row>
    <row r="349" spans="13:15" x14ac:dyDescent="0.35">
      <c r="M349"/>
      <c r="N349"/>
      <c r="O349"/>
    </row>
    <row r="350" spans="13:15" x14ac:dyDescent="0.35">
      <c r="M350"/>
      <c r="N350"/>
      <c r="O350"/>
    </row>
    <row r="351" spans="13:15" x14ac:dyDescent="0.35">
      <c r="M351"/>
      <c r="N351"/>
      <c r="O351"/>
    </row>
    <row r="352" spans="13:15" x14ac:dyDescent="0.35">
      <c r="M352"/>
      <c r="N352"/>
      <c r="O352"/>
    </row>
    <row r="353" spans="13:15" x14ac:dyDescent="0.35">
      <c r="M353"/>
      <c r="N353"/>
      <c r="O353"/>
    </row>
    <row r="354" spans="13:15" x14ac:dyDescent="0.35">
      <c r="M354"/>
      <c r="N354"/>
      <c r="O354"/>
    </row>
    <row r="355" spans="13:15" x14ac:dyDescent="0.35">
      <c r="M355"/>
      <c r="N355"/>
      <c r="O355"/>
    </row>
    <row r="356" spans="13:15" x14ac:dyDescent="0.35">
      <c r="M356"/>
      <c r="N356"/>
      <c r="O356"/>
    </row>
    <row r="357" spans="13:15" x14ac:dyDescent="0.35">
      <c r="M357"/>
      <c r="N357"/>
      <c r="O357"/>
    </row>
    <row r="358" spans="13:15" x14ac:dyDescent="0.35">
      <c r="M358"/>
      <c r="N358"/>
      <c r="O358"/>
    </row>
    <row r="359" spans="13:15" x14ac:dyDescent="0.35">
      <c r="M359"/>
      <c r="N359"/>
      <c r="O359"/>
    </row>
    <row r="360" spans="13:15" x14ac:dyDescent="0.35">
      <c r="M360"/>
      <c r="N360"/>
      <c r="O360"/>
    </row>
    <row r="361" spans="13:15" x14ac:dyDescent="0.35">
      <c r="M361"/>
      <c r="N361"/>
      <c r="O361"/>
    </row>
    <row r="362" spans="13:15" x14ac:dyDescent="0.35">
      <c r="M362"/>
      <c r="N362"/>
      <c r="O362"/>
    </row>
    <row r="363" spans="13:15" x14ac:dyDescent="0.35">
      <c r="M363"/>
      <c r="N363"/>
      <c r="O363"/>
    </row>
    <row r="364" spans="13:15" x14ac:dyDescent="0.35">
      <c r="M364"/>
      <c r="N364"/>
      <c r="O364"/>
    </row>
    <row r="365" spans="13:15" x14ac:dyDescent="0.35">
      <c r="M365"/>
      <c r="N365"/>
      <c r="O365"/>
    </row>
    <row r="366" spans="13:15" x14ac:dyDescent="0.35">
      <c r="M366"/>
      <c r="N366"/>
      <c r="O366"/>
    </row>
    <row r="367" spans="13:15" x14ac:dyDescent="0.35">
      <c r="M367"/>
      <c r="N367"/>
      <c r="O367"/>
    </row>
    <row r="368" spans="13:15" x14ac:dyDescent="0.35">
      <c r="M368"/>
      <c r="N368"/>
      <c r="O368"/>
    </row>
    <row r="369" spans="13:15" x14ac:dyDescent="0.35">
      <c r="M369"/>
      <c r="N369"/>
      <c r="O369"/>
    </row>
    <row r="370" spans="13:15" x14ac:dyDescent="0.35">
      <c r="M370"/>
      <c r="N370"/>
      <c r="O370"/>
    </row>
    <row r="371" spans="13:15" x14ac:dyDescent="0.35">
      <c r="M371"/>
      <c r="N371"/>
      <c r="O371"/>
    </row>
    <row r="372" spans="13:15" x14ac:dyDescent="0.35">
      <c r="M372"/>
      <c r="N372"/>
      <c r="O372"/>
    </row>
    <row r="373" spans="13:15" x14ac:dyDescent="0.35">
      <c r="M373"/>
      <c r="N373"/>
      <c r="O373"/>
    </row>
    <row r="374" spans="13:15" x14ac:dyDescent="0.35">
      <c r="M374"/>
      <c r="N374"/>
      <c r="O374"/>
    </row>
    <row r="375" spans="13:15" x14ac:dyDescent="0.35">
      <c r="M375"/>
      <c r="N375"/>
      <c r="O375"/>
    </row>
    <row r="376" spans="13:15" x14ac:dyDescent="0.35">
      <c r="M376"/>
      <c r="N376"/>
      <c r="O376"/>
    </row>
    <row r="377" spans="13:15" x14ac:dyDescent="0.35">
      <c r="M377"/>
      <c r="N377"/>
      <c r="O377"/>
    </row>
    <row r="378" spans="13:15" x14ac:dyDescent="0.35">
      <c r="M378"/>
      <c r="N378"/>
      <c r="O378"/>
    </row>
    <row r="379" spans="13:15" x14ac:dyDescent="0.35">
      <c r="M379"/>
      <c r="N379"/>
      <c r="O379"/>
    </row>
    <row r="380" spans="13:15" x14ac:dyDescent="0.35">
      <c r="M380"/>
      <c r="N380"/>
      <c r="O380"/>
    </row>
    <row r="381" spans="13:15" x14ac:dyDescent="0.35">
      <c r="M381"/>
      <c r="N381"/>
      <c r="O381"/>
    </row>
    <row r="382" spans="13:15" x14ac:dyDescent="0.35">
      <c r="M382"/>
      <c r="N382"/>
      <c r="O382"/>
    </row>
    <row r="383" spans="13:15" x14ac:dyDescent="0.35">
      <c r="M383"/>
      <c r="N383"/>
      <c r="O383"/>
    </row>
    <row r="384" spans="13:15" x14ac:dyDescent="0.35">
      <c r="M384"/>
      <c r="N384"/>
      <c r="O384"/>
    </row>
    <row r="385" spans="13:15" x14ac:dyDescent="0.35">
      <c r="M385"/>
      <c r="N385"/>
      <c r="O385"/>
    </row>
    <row r="386" spans="13:15" x14ac:dyDescent="0.35">
      <c r="M386"/>
      <c r="N386"/>
      <c r="O386"/>
    </row>
    <row r="387" spans="13:15" x14ac:dyDescent="0.35">
      <c r="M387"/>
      <c r="N387"/>
      <c r="O387"/>
    </row>
    <row r="388" spans="13:15" x14ac:dyDescent="0.35">
      <c r="M388"/>
      <c r="N388"/>
      <c r="O388"/>
    </row>
    <row r="389" spans="13:15" x14ac:dyDescent="0.35">
      <c r="M389"/>
      <c r="N389"/>
      <c r="O389"/>
    </row>
    <row r="390" spans="13:15" x14ac:dyDescent="0.35">
      <c r="M390"/>
      <c r="N390"/>
      <c r="O390"/>
    </row>
    <row r="391" spans="13:15" x14ac:dyDescent="0.35">
      <c r="M391"/>
      <c r="N391"/>
      <c r="O391"/>
    </row>
    <row r="392" spans="13:15" x14ac:dyDescent="0.35">
      <c r="M392"/>
      <c r="N392"/>
      <c r="O392"/>
    </row>
    <row r="393" spans="13:15" x14ac:dyDescent="0.35">
      <c r="M393"/>
      <c r="N393"/>
      <c r="O393"/>
    </row>
    <row r="394" spans="13:15" x14ac:dyDescent="0.35">
      <c r="M394"/>
      <c r="N394"/>
      <c r="O394"/>
    </row>
    <row r="395" spans="13:15" x14ac:dyDescent="0.35">
      <c r="M395"/>
      <c r="N395"/>
      <c r="O395"/>
    </row>
    <row r="396" spans="13:15" x14ac:dyDescent="0.35">
      <c r="M396"/>
      <c r="N396"/>
      <c r="O396"/>
    </row>
    <row r="397" spans="13:15" x14ac:dyDescent="0.35">
      <c r="M397"/>
      <c r="N397"/>
      <c r="O397"/>
    </row>
    <row r="398" spans="13:15" x14ac:dyDescent="0.35">
      <c r="M398"/>
      <c r="N398"/>
      <c r="O398"/>
    </row>
    <row r="399" spans="13:15" x14ac:dyDescent="0.35">
      <c r="M399"/>
      <c r="N399"/>
      <c r="O399"/>
    </row>
  </sheetData>
  <pageMargins left="0.25" right="0.25" top="0.75" bottom="0.75" header="0.3" footer="0.3"/>
  <pageSetup scale="99" fitToHeight="0" orientation="portrait" horizontalDpi="0" verticalDpi="0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E76F-2CC3-4C1A-AE25-6610E1E81CFF}">
  <sheetPr>
    <tabColor rgb="FF00B050"/>
  </sheetPr>
  <dimension ref="A1:H52"/>
  <sheetViews>
    <sheetView topLeftCell="A16" workbookViewId="0">
      <selection activeCell="C44" sqref="C44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customWidth="1"/>
  </cols>
  <sheetData>
    <row r="1" spans="1:6" ht="28" customHeight="1" x14ac:dyDescent="0.35">
      <c r="A1" s="279" t="s">
        <v>213</v>
      </c>
      <c r="B1" s="279"/>
      <c r="C1" s="279"/>
      <c r="D1" s="279"/>
      <c r="E1" s="279"/>
      <c r="F1" s="279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781</v>
      </c>
    </row>
    <row r="4" spans="1:6" x14ac:dyDescent="0.35">
      <c r="A4" s="24" t="s">
        <v>225</v>
      </c>
      <c r="B4" s="22">
        <v>1</v>
      </c>
      <c r="C4" s="23">
        <v>6</v>
      </c>
      <c r="D4" s="24">
        <f>IFERROR(VLOOKUP(A4,[1]!TablaEquipos[#Data],2,FALSE),0)</f>
        <v>1500</v>
      </c>
      <c r="E4" s="25">
        <f>B4*C4*D4</f>
        <v>9000</v>
      </c>
      <c r="F4" s="178"/>
    </row>
    <row r="5" spans="1:6" ht="15.5" customHeight="1" x14ac:dyDescent="0.35">
      <c r="A5" s="26" t="s">
        <v>226</v>
      </c>
      <c r="B5" s="22">
        <v>1</v>
      </c>
      <c r="C5" s="23">
        <v>6</v>
      </c>
      <c r="D5" s="24">
        <f>IFERROR(VLOOKUP(A5,[1]!TablaEquipos[#Data],2,FALSE),0)</f>
        <v>700</v>
      </c>
      <c r="E5" s="25">
        <f>B5*C5*D5</f>
        <v>4200</v>
      </c>
      <c r="F5" s="179"/>
    </row>
    <row r="6" spans="1:6" ht="20.5" customHeight="1" x14ac:dyDescent="0.35">
      <c r="A6" s="26" t="s">
        <v>227</v>
      </c>
      <c r="B6" s="22">
        <v>1</v>
      </c>
      <c r="C6" s="23">
        <v>6</v>
      </c>
      <c r="D6" s="24">
        <f>IFERROR(VLOOKUP(A6,[1]!TablaEquipos[#Data],2,FALSE),0)</f>
        <v>700</v>
      </c>
      <c r="E6" s="25">
        <f>B6*C6*D6</f>
        <v>4200</v>
      </c>
      <c r="F6" s="179"/>
    </row>
    <row r="7" spans="1:6" x14ac:dyDescent="0.35">
      <c r="A7" s="24" t="s">
        <v>228</v>
      </c>
      <c r="B7" s="22">
        <v>1</v>
      </c>
      <c r="C7" s="23">
        <v>6</v>
      </c>
      <c r="D7" s="24">
        <f>IFERROR(VLOOKUP(A7,[1]!TablaEquipos[#Data],2,FALSE),0)</f>
        <v>1500</v>
      </c>
      <c r="E7" s="25">
        <f>B7*C7*D7</f>
        <v>9000</v>
      </c>
      <c r="F7" s="179"/>
    </row>
    <row r="8" spans="1:6" x14ac:dyDescent="0.35">
      <c r="A8" s="24" t="s">
        <v>229</v>
      </c>
      <c r="B8" s="22">
        <v>1</v>
      </c>
      <c r="C8" s="23">
        <v>6</v>
      </c>
      <c r="D8" s="24">
        <f>IFERROR(VLOOKUP(A8,[1]!TablaEquipos[#Data],2,FALSE),0)</f>
        <v>1500</v>
      </c>
      <c r="E8" s="25">
        <f>B8*C8*D8</f>
        <v>9000</v>
      </c>
      <c r="F8" s="179"/>
    </row>
    <row r="9" spans="1:6" ht="15.5" x14ac:dyDescent="0.35">
      <c r="A9" s="122" t="s">
        <v>324</v>
      </c>
      <c r="B9" s="22">
        <v>1</v>
      </c>
      <c r="C9" s="23">
        <v>6</v>
      </c>
      <c r="D9" s="24">
        <f>IFERROR(VLOOKUP(A9,[1]!TablaEquipos[#Data],2,FALSE),0)</f>
        <v>2000</v>
      </c>
      <c r="E9" s="25">
        <f t="shared" ref="E9:E14" si="0">B9*C9*D9</f>
        <v>12000</v>
      </c>
      <c r="F9" s="179"/>
    </row>
    <row r="10" spans="1:6" ht="15.5" x14ac:dyDescent="0.35">
      <c r="A10" s="122" t="s">
        <v>325</v>
      </c>
      <c r="B10" s="22">
        <v>1</v>
      </c>
      <c r="C10" s="23">
        <v>6</v>
      </c>
      <c r="D10" s="24">
        <f>IFERROR(VLOOKUP(A10,[1]!TablaEquipos[#Data],2,FALSE),0)</f>
        <v>150000</v>
      </c>
      <c r="E10" s="25">
        <f t="shared" si="0"/>
        <v>900000</v>
      </c>
      <c r="F10" s="179"/>
    </row>
    <row r="11" spans="1:6" ht="15.5" x14ac:dyDescent="0.35">
      <c r="A11" s="122" t="s">
        <v>312</v>
      </c>
      <c r="B11" s="22">
        <v>1</v>
      </c>
      <c r="C11" s="23">
        <v>6</v>
      </c>
      <c r="D11" s="24">
        <f>IFERROR(VLOOKUP(A11,[1]!TablaEquipos[#Data],2,FALSE),0)</f>
        <v>100000</v>
      </c>
      <c r="E11" s="25">
        <f t="shared" si="0"/>
        <v>600000</v>
      </c>
      <c r="F11" s="179"/>
    </row>
    <row r="12" spans="1:6" ht="15.5" x14ac:dyDescent="0.35">
      <c r="A12" s="122" t="s">
        <v>326</v>
      </c>
      <c r="B12" s="22">
        <v>1</v>
      </c>
      <c r="C12" s="23">
        <v>6</v>
      </c>
      <c r="D12" s="24">
        <f>IFERROR(VLOOKUP(A12,[1]!TablaEquipos[#Data],2,FALSE),0)</f>
        <v>1500</v>
      </c>
      <c r="E12" s="25">
        <f t="shared" si="0"/>
        <v>9000</v>
      </c>
      <c r="F12" s="179"/>
    </row>
    <row r="13" spans="1:6" ht="15.5" x14ac:dyDescent="0.35">
      <c r="A13" s="122" t="s">
        <v>327</v>
      </c>
      <c r="B13" s="22">
        <v>1</v>
      </c>
      <c r="C13" s="23">
        <v>6</v>
      </c>
      <c r="D13" s="24">
        <f>IFERROR(VLOOKUP(A13,[1]!TablaEquipos[#Data],2,FALSE),0)</f>
        <v>2000</v>
      </c>
      <c r="E13" s="25">
        <f t="shared" si="0"/>
        <v>12000</v>
      </c>
      <c r="F13" s="179"/>
    </row>
    <row r="14" spans="1:6" ht="15.5" x14ac:dyDescent="0.35">
      <c r="A14" s="122" t="s">
        <v>374</v>
      </c>
      <c r="B14" s="22">
        <v>1</v>
      </c>
      <c r="C14" s="23">
        <v>6</v>
      </c>
      <c r="D14" s="24">
        <f>IFERROR(VLOOKUP(A14,[1]!TablaEquipos[#Data],2,FALSE),0)</f>
        <v>1000</v>
      </c>
      <c r="E14" s="25">
        <f t="shared" si="0"/>
        <v>6000</v>
      </c>
      <c r="F14" s="179"/>
    </row>
    <row r="15" spans="1:6" ht="15.5" x14ac:dyDescent="0.35">
      <c r="A15" s="122" t="s">
        <v>298</v>
      </c>
      <c r="B15" s="22"/>
      <c r="C15" s="23"/>
      <c r="D15" s="27"/>
      <c r="E15" s="25"/>
      <c r="F15" s="179"/>
    </row>
    <row r="16" spans="1:6" ht="15.5" x14ac:dyDescent="0.35">
      <c r="A16" s="122"/>
      <c r="B16" s="22"/>
      <c r="C16" s="23"/>
      <c r="D16" s="27"/>
      <c r="E16" s="25"/>
      <c r="F16" s="179"/>
    </row>
    <row r="17" spans="1:8" ht="16" thickBot="1" x14ac:dyDescent="0.4">
      <c r="A17" s="122"/>
      <c r="B17" s="98"/>
      <c r="C17" s="98"/>
      <c r="D17" s="98"/>
      <c r="E17" s="98"/>
      <c r="F17" s="84">
        <f>SUM(E4:E16)</f>
        <v>1574400</v>
      </c>
    </row>
    <row r="18" spans="1:8" x14ac:dyDescent="0.35">
      <c r="A18" s="33" t="s">
        <v>270</v>
      </c>
      <c r="B18" s="34" t="s">
        <v>83</v>
      </c>
      <c r="C18" s="45" t="s">
        <v>84</v>
      </c>
      <c r="D18" s="46" t="s">
        <v>269</v>
      </c>
      <c r="E18" s="37" t="s">
        <v>86</v>
      </c>
      <c r="F18" s="280"/>
    </row>
    <row r="19" spans="1:8" x14ac:dyDescent="0.35">
      <c r="A19" s="24" t="s">
        <v>253</v>
      </c>
      <c r="B19" s="22"/>
      <c r="C19" s="29"/>
      <c r="D19" s="27">
        <f>IFERROR(VLOOKUP(A19,[1]!TablaMateriales[#Data],2,FALSE),0)</f>
        <v>35000</v>
      </c>
      <c r="E19" s="25">
        <f>B19*D19</f>
        <v>0</v>
      </c>
      <c r="F19" s="281"/>
    </row>
    <row r="20" spans="1:8" x14ac:dyDescent="0.35">
      <c r="A20" s="30" t="s">
        <v>254</v>
      </c>
      <c r="B20" s="22">
        <v>50</v>
      </c>
      <c r="C20" s="29"/>
      <c r="D20" s="27">
        <f>IFERROR(VLOOKUP(A20,[1]!TablaMateriales[#Data],2,FALSE),0)</f>
        <v>20000</v>
      </c>
      <c r="E20" s="25">
        <f>B20*D20</f>
        <v>1000000</v>
      </c>
      <c r="F20" s="281"/>
    </row>
    <row r="21" spans="1:8" x14ac:dyDescent="0.35">
      <c r="A21" s="30" t="s">
        <v>255</v>
      </c>
      <c r="B21" s="22"/>
      <c r="C21" s="29"/>
      <c r="D21" s="27">
        <f>IFERROR(VLOOKUP(A21,[1]!TablaMateriales[#Data],2,FALSE),0)</f>
        <v>50000</v>
      </c>
      <c r="E21" s="25">
        <f>B21*D21</f>
        <v>0</v>
      </c>
      <c r="F21" s="281"/>
    </row>
    <row r="22" spans="1:8" x14ac:dyDescent="0.35">
      <c r="A22" s="30" t="s">
        <v>433</v>
      </c>
      <c r="B22" s="22">
        <v>2</v>
      </c>
      <c r="C22" s="29"/>
      <c r="D22" s="27">
        <f>IFERROR(VLOOKUP(A22,[1]!TablaMateriales[#Data],2,FALSE),0)</f>
        <v>25000</v>
      </c>
      <c r="E22" s="25">
        <f>B22*D22</f>
        <v>50000</v>
      </c>
      <c r="F22" s="281"/>
    </row>
    <row r="23" spans="1:8" x14ac:dyDescent="0.35">
      <c r="A23" s="30" t="s">
        <v>257</v>
      </c>
      <c r="B23" s="78">
        <v>5</v>
      </c>
      <c r="C23" s="23"/>
      <c r="D23" s="27">
        <f>IFERROR(VLOOKUP(A23,[1]!TablaMateriales[#Data],2,FALSE),0)</f>
        <v>9500</v>
      </c>
      <c r="E23" s="25">
        <f>B23*D23</f>
        <v>47500</v>
      </c>
      <c r="F23" s="281"/>
    </row>
    <row r="24" spans="1:8" x14ac:dyDescent="0.35">
      <c r="A24" s="30" t="s">
        <v>258</v>
      </c>
      <c r="B24" s="78"/>
      <c r="C24" s="23"/>
      <c r="D24" s="27">
        <f>IFERROR(VLOOKUP(A24,[1]!TablaMateriales[#Data],2,FALSE),0)</f>
        <v>9500</v>
      </c>
      <c r="E24" s="25">
        <f t="shared" ref="E24:E31" si="1">B24*D24</f>
        <v>0</v>
      </c>
      <c r="F24" s="281"/>
    </row>
    <row r="25" spans="1:8" x14ac:dyDescent="0.35">
      <c r="A25" s="30" t="s">
        <v>259</v>
      </c>
      <c r="B25" s="78">
        <v>3</v>
      </c>
      <c r="C25" s="23"/>
      <c r="D25" s="27">
        <f>IFERROR(VLOOKUP(A25,[1]!TablaMateriales[#Data],2,FALSE),0)</f>
        <v>15000</v>
      </c>
      <c r="E25" s="25">
        <f t="shared" si="1"/>
        <v>45000</v>
      </c>
      <c r="F25" s="281"/>
    </row>
    <row r="26" spans="1:8" x14ac:dyDescent="0.35">
      <c r="A26" s="30" t="s">
        <v>260</v>
      </c>
      <c r="B26" s="78">
        <v>20</v>
      </c>
      <c r="C26" s="23"/>
      <c r="D26" s="27">
        <f>IFERROR(VLOOKUP(A26,[1]!TablaMateriales[#Data],2,FALSE),0)</f>
        <v>20000</v>
      </c>
      <c r="E26" s="25">
        <f t="shared" si="1"/>
        <v>400000</v>
      </c>
      <c r="F26" s="281"/>
    </row>
    <row r="27" spans="1:8" ht="23" x14ac:dyDescent="0.35">
      <c r="A27" s="79" t="s">
        <v>261</v>
      </c>
      <c r="B27" s="113">
        <v>5</v>
      </c>
      <c r="C27" s="32"/>
      <c r="D27" s="27">
        <f>IFERROR(VLOOKUP(A27,[1]!TablaMateriales[#Data],2,FALSE),0)</f>
        <v>55000</v>
      </c>
      <c r="E27" s="83">
        <f t="shared" si="1"/>
        <v>275000</v>
      </c>
      <c r="F27" s="281"/>
      <c r="H27" s="86"/>
    </row>
    <row r="28" spans="1:8" x14ac:dyDescent="0.35">
      <c r="A28" s="62"/>
      <c r="B28" s="62"/>
      <c r="C28" s="62"/>
      <c r="D28" s="62"/>
      <c r="E28" s="27"/>
      <c r="F28" s="282"/>
      <c r="H28" s="86"/>
    </row>
    <row r="29" spans="1:8" x14ac:dyDescent="0.35">
      <c r="A29" s="62"/>
      <c r="B29" s="62"/>
      <c r="C29" s="62"/>
      <c r="D29" s="62"/>
      <c r="E29" s="27"/>
      <c r="F29" s="282"/>
      <c r="H29" s="86"/>
    </row>
    <row r="30" spans="1:8" x14ac:dyDescent="0.35">
      <c r="A30" s="62"/>
      <c r="B30" s="78"/>
      <c r="C30" s="23"/>
      <c r="D30" s="27">
        <f>IFERROR(VLOOKUP(A30,[1]!TablaMateriales[#Data],2,FALSE),0)</f>
        <v>0</v>
      </c>
      <c r="E30" s="27"/>
      <c r="F30" s="282"/>
    </row>
    <row r="31" spans="1:8" ht="15" thickBot="1" x14ac:dyDescent="0.4">
      <c r="A31" s="31"/>
      <c r="B31" s="78"/>
      <c r="C31" s="23"/>
      <c r="D31" s="27">
        <f>IFERROR(VLOOKUP(A31,[1]!TablaMateriales[#Data],2,FALSE),0)</f>
        <v>0</v>
      </c>
      <c r="E31" s="27">
        <f t="shared" si="1"/>
        <v>0</v>
      </c>
      <c r="F31" s="282"/>
    </row>
    <row r="32" spans="1:8" ht="15" thickBot="1" x14ac:dyDescent="0.4">
      <c r="A32" s="99"/>
      <c r="B32" s="100"/>
      <c r="C32" s="100"/>
      <c r="D32" s="100"/>
      <c r="E32" s="101"/>
      <c r="F32" s="28">
        <f>SUM(E19:E31)</f>
        <v>1817500</v>
      </c>
    </row>
    <row r="33" spans="1:6" x14ac:dyDescent="0.35">
      <c r="A33" s="33" t="s">
        <v>88</v>
      </c>
      <c r="B33" s="34" t="s">
        <v>83</v>
      </c>
      <c r="C33" s="35" t="s">
        <v>84</v>
      </c>
      <c r="D33" s="36" t="s">
        <v>89</v>
      </c>
      <c r="E33" s="37" t="s">
        <v>86</v>
      </c>
      <c r="F33" s="280"/>
    </row>
    <row r="34" spans="1:6" x14ac:dyDescent="0.35">
      <c r="A34" s="38" t="s">
        <v>272</v>
      </c>
      <c r="B34" s="34">
        <v>1</v>
      </c>
      <c r="C34" s="35">
        <v>3.52</v>
      </c>
      <c r="D34" s="39">
        <f>'tabla salarial'!AS4</f>
        <v>555393.74067333317</v>
      </c>
      <c r="E34" s="37">
        <f>B34*C34*D34</f>
        <v>1954985.9671701328</v>
      </c>
      <c r="F34" s="281"/>
    </row>
    <row r="35" spans="1:6" x14ac:dyDescent="0.35">
      <c r="A35" s="107" t="s">
        <v>273</v>
      </c>
      <c r="B35" s="20">
        <v>1</v>
      </c>
      <c r="C35" s="40">
        <v>3.52</v>
      </c>
      <c r="D35" s="39">
        <f>'tabla salarial'!AS4</f>
        <v>555393.74067333317</v>
      </c>
      <c r="E35" s="21">
        <f>B35*C35*D35</f>
        <v>1954985.9671701328</v>
      </c>
      <c r="F35" s="281"/>
    </row>
    <row r="36" spans="1:6" x14ac:dyDescent="0.35">
      <c r="A36" s="107" t="s">
        <v>274</v>
      </c>
      <c r="B36" s="20">
        <v>1</v>
      </c>
      <c r="C36" s="35">
        <v>10.5</v>
      </c>
      <c r="D36" s="39">
        <f>'tabla salarial'!AS7</f>
        <v>371571.3297066667</v>
      </c>
      <c r="E36" s="21">
        <f>B36*C36*D36</f>
        <v>3901498.9619200001</v>
      </c>
      <c r="F36" s="281"/>
    </row>
    <row r="37" spans="1:6" x14ac:dyDescent="0.35">
      <c r="A37" s="107" t="s">
        <v>223</v>
      </c>
      <c r="B37" s="20">
        <v>1</v>
      </c>
      <c r="C37" s="35">
        <v>3.52</v>
      </c>
      <c r="D37" s="39">
        <f>'tabla salarial'!AS8</f>
        <v>355821.87609999999</v>
      </c>
      <c r="E37" s="21">
        <f>B37*C37*D37</f>
        <v>1252493.0038719999</v>
      </c>
      <c r="F37" s="281"/>
    </row>
    <row r="38" spans="1:6" x14ac:dyDescent="0.35">
      <c r="A38" s="107" t="s">
        <v>275</v>
      </c>
      <c r="B38" s="20">
        <v>1</v>
      </c>
      <c r="C38" s="40">
        <v>10.5</v>
      </c>
      <c r="D38" s="39">
        <f>'tabla salarial'!AS9</f>
        <v>382109.06042666658</v>
      </c>
      <c r="E38" s="21">
        <f>B38*C38*D38</f>
        <v>4012145.1344799991</v>
      </c>
      <c r="F38" s="281"/>
    </row>
    <row r="39" spans="1:6" x14ac:dyDescent="0.35">
      <c r="A39" s="107"/>
      <c r="B39" s="20"/>
      <c r="C39" s="40"/>
      <c r="D39" s="39"/>
      <c r="E39" s="21"/>
      <c r="F39" s="140"/>
    </row>
    <row r="40" spans="1:6" x14ac:dyDescent="0.35">
      <c r="A40" s="107"/>
      <c r="B40" s="20"/>
      <c r="C40" s="40"/>
      <c r="D40" s="39"/>
      <c r="E40" s="21"/>
      <c r="F40" s="140"/>
    </row>
    <row r="41" spans="1:6" x14ac:dyDescent="0.35">
      <c r="A41" s="108"/>
      <c r="B41" s="108"/>
      <c r="C41" s="108"/>
      <c r="D41" s="108"/>
      <c r="E41" s="108"/>
      <c r="F41" s="42">
        <f>SUM(E34:E38)</f>
        <v>13076109.034612264</v>
      </c>
    </row>
    <row r="42" spans="1:6" x14ac:dyDescent="0.35">
      <c r="A42" s="33" t="s">
        <v>279</v>
      </c>
      <c r="B42" s="34" t="s">
        <v>83</v>
      </c>
      <c r="C42" s="35" t="s">
        <v>84</v>
      </c>
      <c r="D42" s="36" t="s">
        <v>269</v>
      </c>
      <c r="E42" s="37" t="s">
        <v>86</v>
      </c>
      <c r="F42" s="283"/>
    </row>
    <row r="43" spans="1:6" x14ac:dyDescent="0.35">
      <c r="A43" s="108"/>
      <c r="B43" s="108"/>
      <c r="C43" s="108"/>
      <c r="D43" s="108"/>
      <c r="E43" s="110">
        <f>B43*C43*D43</f>
        <v>0</v>
      </c>
      <c r="F43" s="284"/>
    </row>
    <row r="44" spans="1:6" ht="15.5" x14ac:dyDescent="0.35">
      <c r="A44" s="122" t="s">
        <v>285</v>
      </c>
      <c r="B44" s="108">
        <v>1</v>
      </c>
      <c r="C44" s="108">
        <v>2</v>
      </c>
      <c r="D44" s="108">
        <v>550000</v>
      </c>
      <c r="E44" s="108">
        <f>B44*C44*D44</f>
        <v>1100000</v>
      </c>
      <c r="F44" s="284"/>
    </row>
    <row r="45" spans="1:6" x14ac:dyDescent="0.35">
      <c r="A45" s="135"/>
      <c r="B45" s="135"/>
      <c r="C45" s="135"/>
      <c r="D45" s="135">
        <f>IFERROR(VLOOKUP(A45,[1]!TablaTransporte[#Data],2,FALSE),0)</f>
        <v>0</v>
      </c>
      <c r="E45" s="135"/>
      <c r="F45" s="285"/>
    </row>
    <row r="46" spans="1:6" x14ac:dyDescent="0.35">
      <c r="A46" s="43"/>
      <c r="B46" s="43"/>
      <c r="C46" s="43"/>
      <c r="D46" s="43"/>
      <c r="E46" s="43"/>
      <c r="F46" s="42">
        <f>SUM(E43:E44)</f>
        <v>1100000</v>
      </c>
    </row>
    <row r="47" spans="1:6" x14ac:dyDescent="0.35">
      <c r="A47" s="92"/>
      <c r="B47" s="93"/>
      <c r="C47" s="93"/>
      <c r="D47" s="93"/>
      <c r="E47" s="94"/>
      <c r="F47" s="42">
        <f>F17+F32+F41+F46</f>
        <v>17568009.034612264</v>
      </c>
    </row>
    <row r="48" spans="1:6" ht="15" thickBot="1" x14ac:dyDescent="0.4">
      <c r="A48" s="95"/>
      <c r="B48" s="96"/>
      <c r="C48" s="96"/>
      <c r="D48" s="96"/>
      <c r="E48" s="97"/>
      <c r="F48" s="44">
        <f>F47*A48</f>
        <v>0</v>
      </c>
    </row>
    <row r="49" spans="1:6" ht="15" thickBot="1" x14ac:dyDescent="0.4">
      <c r="A49" s="87"/>
      <c r="B49" s="88"/>
      <c r="C49" s="88"/>
      <c r="D49" s="88"/>
      <c r="E49" s="89"/>
      <c r="F49" s="28">
        <f>F47+F48</f>
        <v>17568009.034612264</v>
      </c>
    </row>
    <row r="50" spans="1:6" ht="15" thickBot="1" x14ac:dyDescent="0.4">
      <c r="A50" s="90"/>
      <c r="B50" s="88"/>
      <c r="C50" s="88"/>
      <c r="D50" s="88"/>
      <c r="E50" s="89"/>
      <c r="F50" s="28">
        <f>F49*A50</f>
        <v>0</v>
      </c>
    </row>
    <row r="51" spans="1:6" ht="15" thickBot="1" x14ac:dyDescent="0.4">
      <c r="A51" s="91"/>
      <c r="B51" s="91"/>
      <c r="C51" s="91"/>
      <c r="D51" s="91"/>
      <c r="E51" s="91"/>
      <c r="F51" s="28">
        <f>F49+F50</f>
        <v>17568009.034612264</v>
      </c>
    </row>
    <row r="52" spans="1:6" x14ac:dyDescent="0.35">
      <c r="F52" s="176">
        <f>F51/F3</f>
        <v>22494.249724215446</v>
      </c>
    </row>
  </sheetData>
  <mergeCells count="4">
    <mergeCell ref="A1:F1"/>
    <mergeCell ref="F33:F38"/>
    <mergeCell ref="F18:F31"/>
    <mergeCell ref="F42:F45"/>
  </mergeCells>
  <dataValidations count="4">
    <dataValidation type="list" allowBlank="1" showInputMessage="1" promptTitle="Seleccione un equipo" prompt="Elija de la lista o escriba un elemento nuevo si no aparece." sqref="A113:A192" xr:uid="{5F469AE4-6E79-4C65-8785-A3C4EB118D92}">
      <formula1>"TablaEquipos"</formula1>
    </dataValidation>
    <dataValidation type="list" allowBlank="1" showInputMessage="1" promptTitle="Seleccione un material" prompt="Elija de la lista o escriba un elemento nuevo si no aparece." sqref="A19:A32" xr:uid="{EF2183CC-BD93-4DD9-9E29-D702B34ED8C2}">
      <formula1>ListaMateriales</formula1>
    </dataValidation>
    <dataValidation type="list" allowBlank="1" showInputMessage="1" promptTitle="Seleccione un equipo" prompt="Elija de la lista o escriba un elemento nuevo si no aparece." sqref="A44:A45" xr:uid="{0465623D-B907-4CDE-876D-EE142DCF35BC}">
      <formula1>ListaTransporte</formula1>
    </dataValidation>
    <dataValidation type="list" allowBlank="1" showInputMessage="1" promptTitle="Seleccione un equipo" prompt="Elija de la lista o escriba un elemento nuevo si no aparece." sqref="A3:A17" xr:uid="{8C027958-A09C-42AA-A931-074748E149C7}">
      <formula1>ListaEquipos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D3B94A81-ED40-4BCF-9BD2-B9EAC0484284}">
          <x14:formula1>
            <xm:f>'D:\RFC SAS 2026\COTIZACIONES 2026\[COT-105-2026  r.nuñez adecuacion punto de control odc caucasia.xlsx]herramientas mat transp y mano'!#REF!</xm:f>
          </x14:formula1>
          <xm:sqref>A43 A46:A112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1C2C-0363-43DC-8C5F-917F48F160CE}">
  <sheetPr>
    <tabColor rgb="FF00B050"/>
  </sheetPr>
  <dimension ref="A1:F48"/>
  <sheetViews>
    <sheetView topLeftCell="A34" workbookViewId="0">
      <selection activeCell="C40" sqref="C40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5" max="5" width="12.81640625" customWidth="1"/>
    <col min="6" max="6" width="14.36328125" customWidth="1"/>
  </cols>
  <sheetData>
    <row r="1" spans="1:6" x14ac:dyDescent="0.35">
      <c r="A1" s="279" t="s">
        <v>167</v>
      </c>
      <c r="B1" s="279"/>
      <c r="C1" s="279"/>
      <c r="D1" s="279"/>
      <c r="E1" s="279"/>
      <c r="F1" s="279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159</v>
      </c>
    </row>
    <row r="3" spans="1:6" x14ac:dyDescent="0.35">
      <c r="A3" s="33"/>
      <c r="B3" s="34"/>
      <c r="C3" s="45"/>
      <c r="D3" s="46"/>
      <c r="E3" s="37"/>
      <c r="F3" s="77">
        <v>510</v>
      </c>
    </row>
    <row r="4" spans="1:6" x14ac:dyDescent="0.35">
      <c r="A4" s="24" t="s">
        <v>310</v>
      </c>
      <c r="B4" s="22">
        <v>1</v>
      </c>
      <c r="C4" s="23">
        <v>12</v>
      </c>
      <c r="D4" s="24">
        <f>IFERROR(VLOOKUP(A4,[1]!TablaEquipos[#Data],2,FALSE),0)</f>
        <v>1500</v>
      </c>
      <c r="E4" s="25">
        <f>B4*C4*D4</f>
        <v>18000</v>
      </c>
      <c r="F4" s="62"/>
    </row>
    <row r="5" spans="1:6" x14ac:dyDescent="0.35">
      <c r="A5" s="24" t="s">
        <v>300</v>
      </c>
      <c r="B5" s="22">
        <v>1</v>
      </c>
      <c r="C5" s="23">
        <v>12</v>
      </c>
      <c r="D5" s="24">
        <f>IFERROR(VLOOKUP(A5,[1]!TablaEquipos[#Data],2,FALSE),0)</f>
        <v>700</v>
      </c>
      <c r="E5" s="25">
        <f>B5*C5*D5</f>
        <v>8400</v>
      </c>
      <c r="F5" s="62"/>
    </row>
    <row r="6" spans="1:6" x14ac:dyDescent="0.35">
      <c r="A6" s="26" t="s">
        <v>226</v>
      </c>
      <c r="B6" s="22">
        <v>1</v>
      </c>
      <c r="C6" s="23">
        <v>12</v>
      </c>
      <c r="D6" s="24">
        <f>IFERROR(VLOOKUP(A6,[1]!TablaEquipos[#Data],2,FALSE),0)</f>
        <v>700</v>
      </c>
      <c r="E6" s="25">
        <f>B6*C6*D6</f>
        <v>8400</v>
      </c>
      <c r="F6" s="62"/>
    </row>
    <row r="7" spans="1:6" x14ac:dyDescent="0.35">
      <c r="A7" s="26" t="s">
        <v>227</v>
      </c>
      <c r="B7" s="22">
        <v>1</v>
      </c>
      <c r="C7" s="23">
        <v>12</v>
      </c>
      <c r="D7" s="24">
        <f>IFERROR(VLOOKUP(A7,[1]!TablaEquipos[#Data],2,FALSE),0)</f>
        <v>700</v>
      </c>
      <c r="E7" s="25">
        <f t="shared" ref="E7:E13" si="0">B7*C7*D7</f>
        <v>8400</v>
      </c>
      <c r="F7" s="62"/>
    </row>
    <row r="8" spans="1:6" x14ac:dyDescent="0.35">
      <c r="A8" s="24" t="s">
        <v>228</v>
      </c>
      <c r="B8" s="22">
        <v>1</v>
      </c>
      <c r="C8" s="23">
        <v>12</v>
      </c>
      <c r="D8" s="24">
        <f>IFERROR(VLOOKUP(A8,[1]!TablaEquipos[#Data],2,FALSE),0)</f>
        <v>1500</v>
      </c>
      <c r="E8" s="25">
        <f t="shared" si="0"/>
        <v>18000</v>
      </c>
      <c r="F8" s="62"/>
    </row>
    <row r="9" spans="1:6" x14ac:dyDescent="0.35">
      <c r="A9" s="24" t="s">
        <v>230</v>
      </c>
      <c r="B9" s="22">
        <v>1</v>
      </c>
      <c r="C9" s="23">
        <v>12</v>
      </c>
      <c r="D9" s="24">
        <f>IFERROR(VLOOKUP(A9,[1]!TablaEquipos[#Data],2,FALSE),0)</f>
        <v>15000</v>
      </c>
      <c r="E9" s="25">
        <f t="shared" si="0"/>
        <v>180000</v>
      </c>
      <c r="F9" s="62"/>
    </row>
    <row r="10" spans="1:6" ht="20" customHeight="1" x14ac:dyDescent="0.35">
      <c r="A10" s="24" t="s">
        <v>231</v>
      </c>
      <c r="B10" s="22">
        <v>2</v>
      </c>
      <c r="C10" s="23">
        <v>12</v>
      </c>
      <c r="D10" s="24">
        <f>IFERROR(VLOOKUP(A10,[1]!TablaEquipos[#Data],2,FALSE),0)</f>
        <v>1500</v>
      </c>
      <c r="E10" s="25">
        <f t="shared" si="0"/>
        <v>36000</v>
      </c>
      <c r="F10" s="62"/>
    </row>
    <row r="11" spans="1:6" ht="19.5" customHeight="1" x14ac:dyDescent="0.35">
      <c r="A11" s="81" t="s">
        <v>232</v>
      </c>
      <c r="B11" s="22">
        <v>2</v>
      </c>
      <c r="C11" s="23">
        <v>12</v>
      </c>
      <c r="D11" s="24">
        <f>IFERROR(VLOOKUP(A11,[1]!TablaEquipos[#Data],2,FALSE),0)</f>
        <v>500</v>
      </c>
      <c r="E11" s="83">
        <f t="shared" si="0"/>
        <v>12000</v>
      </c>
      <c r="F11" s="62"/>
    </row>
    <row r="12" spans="1:6" ht="22.5" customHeight="1" x14ac:dyDescent="0.35">
      <c r="A12" s="24" t="s">
        <v>233</v>
      </c>
      <c r="B12" s="22">
        <v>1</v>
      </c>
      <c r="C12" s="23">
        <v>12</v>
      </c>
      <c r="D12" s="24">
        <f>IFERROR(VLOOKUP(A12,[1]!TablaEquipos[#Data],2,FALSE),0)</f>
        <v>500</v>
      </c>
      <c r="E12" s="25">
        <f t="shared" si="0"/>
        <v>6000</v>
      </c>
      <c r="F12" s="62"/>
    </row>
    <row r="13" spans="1:6" ht="21.5" customHeight="1" x14ac:dyDescent="0.35">
      <c r="A13" s="24" t="s">
        <v>229</v>
      </c>
      <c r="B13" s="22">
        <v>2</v>
      </c>
      <c r="C13" s="23">
        <v>12</v>
      </c>
      <c r="D13" s="24">
        <f>IFERROR(VLOOKUP(A13,[1]!TablaEquipos[#Data],2,FALSE),0)</f>
        <v>1500</v>
      </c>
      <c r="E13" s="25">
        <f t="shared" si="0"/>
        <v>36000</v>
      </c>
      <c r="F13" s="62"/>
    </row>
    <row r="14" spans="1:6" ht="20" customHeight="1" x14ac:dyDescent="0.35">
      <c r="A14" s="122"/>
      <c r="B14" s="22">
        <v>2</v>
      </c>
      <c r="C14" s="23"/>
      <c r="D14" s="24">
        <f>IFERROR(VLOOKUP(A14,[1]!TablaEquipos[#Data],2,FALSE),0)</f>
        <v>0</v>
      </c>
      <c r="E14" s="25"/>
      <c r="F14" s="62"/>
    </row>
    <row r="15" spans="1:6" ht="15.5" x14ac:dyDescent="0.35">
      <c r="A15" s="122"/>
      <c r="B15" s="22">
        <v>2</v>
      </c>
      <c r="C15" s="23"/>
      <c r="D15" s="24">
        <f>IFERROR(VLOOKUP(A15,[1]!TablaEquipos[#Data],2,FALSE),0)</f>
        <v>0</v>
      </c>
      <c r="E15" s="25"/>
      <c r="F15" s="62"/>
    </row>
    <row r="16" spans="1:6" ht="25.5" customHeight="1" x14ac:dyDescent="0.35">
      <c r="A16" s="24"/>
      <c r="B16" s="22">
        <v>2</v>
      </c>
      <c r="C16" s="23"/>
      <c r="D16" s="24">
        <f>IFERROR(VLOOKUP(A16,[1]!TablaEquipos[#Data],2,FALSE),0)</f>
        <v>0</v>
      </c>
      <c r="E16" s="25"/>
      <c r="F16" s="62"/>
    </row>
    <row r="17" spans="1:6" ht="24" customHeight="1" x14ac:dyDescent="0.35">
      <c r="A17" s="24"/>
      <c r="B17" s="22">
        <v>2</v>
      </c>
      <c r="C17" s="23"/>
      <c r="D17" s="24">
        <f>IFERROR(VLOOKUP(A17,[1]!TablaEquipos[#Data],2,FALSE),0)</f>
        <v>0</v>
      </c>
      <c r="E17" s="25"/>
      <c r="F17" s="62"/>
    </row>
    <row r="18" spans="1:6" ht="20.5" customHeight="1" thickBot="1" x14ac:dyDescent="0.4">
      <c r="A18" s="294"/>
      <c r="B18" s="295"/>
      <c r="C18" s="295"/>
      <c r="D18" s="295"/>
      <c r="E18" s="295"/>
      <c r="F18" s="84">
        <f>SUM(E4:E17)</f>
        <v>331200</v>
      </c>
    </row>
    <row r="19" spans="1:6" ht="21.5" customHeight="1" x14ac:dyDescent="0.35">
      <c r="A19" s="33" t="s">
        <v>270</v>
      </c>
      <c r="B19" s="34" t="s">
        <v>83</v>
      </c>
      <c r="C19" s="45" t="s">
        <v>84</v>
      </c>
      <c r="D19" s="46" t="s">
        <v>269</v>
      </c>
      <c r="E19" s="37" t="s">
        <v>86</v>
      </c>
      <c r="F19" s="168"/>
    </row>
    <row r="20" spans="1:6" x14ac:dyDescent="0.35">
      <c r="A20" s="24" t="s">
        <v>791</v>
      </c>
      <c r="B20" s="22">
        <v>180</v>
      </c>
      <c r="C20" s="29"/>
      <c r="D20" s="27">
        <f>IFERROR(VLOOKUP(A20,[1]!TablaMateriales[#Data],2,FALSE),0)</f>
        <v>25000</v>
      </c>
      <c r="E20" s="25">
        <f>B20*D20</f>
        <v>4500000</v>
      </c>
      <c r="F20" s="155"/>
    </row>
    <row r="21" spans="1:6" x14ac:dyDescent="0.35">
      <c r="A21" s="30" t="s">
        <v>262</v>
      </c>
      <c r="B21" s="78">
        <v>4</v>
      </c>
      <c r="C21" s="23"/>
      <c r="D21" s="27">
        <f>IFERROR(VLOOKUP(A21,[1]!TablaMateriales[#Data],2,FALSE),0)</f>
        <v>15900</v>
      </c>
      <c r="E21" s="25">
        <f>B21*D21</f>
        <v>63600</v>
      </c>
      <c r="F21" s="155"/>
    </row>
    <row r="22" spans="1:6" x14ac:dyDescent="0.35">
      <c r="A22" s="31" t="s">
        <v>263</v>
      </c>
      <c r="B22" s="78">
        <v>55</v>
      </c>
      <c r="C22" s="23"/>
      <c r="D22" s="27">
        <f>IFERROR(VLOOKUP(A22,[1]!TablaMateriales[#Data],2,FALSE),0)</f>
        <v>14000</v>
      </c>
      <c r="E22" s="25">
        <f>B22*D22</f>
        <v>770000</v>
      </c>
      <c r="F22" s="155"/>
    </row>
    <row r="23" spans="1:6" x14ac:dyDescent="0.35">
      <c r="A23" s="31" t="s">
        <v>264</v>
      </c>
      <c r="B23" s="78">
        <v>570</v>
      </c>
      <c r="C23" s="23"/>
      <c r="D23" s="27">
        <f>IFERROR(VLOOKUP(A23,[1]!TablaMateriales[#Data],2,FALSE),0)</f>
        <v>3800</v>
      </c>
      <c r="E23" s="27">
        <f>B23*D23</f>
        <v>2166000</v>
      </c>
      <c r="F23" s="173"/>
    </row>
    <row r="24" spans="1:6" x14ac:dyDescent="0.35">
      <c r="A24" s="31"/>
      <c r="B24" s="78"/>
      <c r="C24" s="23"/>
      <c r="D24" s="27">
        <f>IFERROR(VLOOKUP(A24,[1]!TablaMateriales[#Data],2,FALSE),0)</f>
        <v>0</v>
      </c>
      <c r="E24" s="27">
        <f>B24*D24</f>
        <v>0</v>
      </c>
      <c r="F24" s="173"/>
    </row>
    <row r="25" spans="1:6" x14ac:dyDescent="0.35">
      <c r="A25" s="31"/>
      <c r="B25" s="78"/>
      <c r="C25" s="23"/>
      <c r="D25" s="27">
        <f>IFERROR(VLOOKUP(A25,[1]!TablaMateriales[#Data],2,FALSE),0)</f>
        <v>0</v>
      </c>
      <c r="E25" s="27"/>
      <c r="F25" s="173"/>
    </row>
    <row r="26" spans="1:6" x14ac:dyDescent="0.35">
      <c r="A26" s="31"/>
      <c r="B26" s="78"/>
      <c r="C26" s="23"/>
      <c r="D26" s="27">
        <f>IFERROR(VLOOKUP(A26,[1]!TablaMateriales[#Data],2,FALSE),0)</f>
        <v>0</v>
      </c>
      <c r="E26" s="27"/>
      <c r="F26" s="173"/>
    </row>
    <row r="27" spans="1:6" x14ac:dyDescent="0.35">
      <c r="A27" s="31"/>
      <c r="B27" s="78"/>
      <c r="C27" s="23"/>
      <c r="D27" s="27">
        <f>IFERROR(VLOOKUP(A27,[1]!TablaMateriales[#Data],2,FALSE),0)</f>
        <v>0</v>
      </c>
      <c r="E27" s="27"/>
      <c r="F27" s="173"/>
    </row>
    <row r="28" spans="1:6" ht="15" thickBot="1" x14ac:dyDescent="0.4">
      <c r="A28" s="31"/>
      <c r="B28" s="78"/>
      <c r="C28" s="23"/>
      <c r="D28" s="27">
        <f>IFERROR(VLOOKUP(A28,[1]!TablaMateriales[#Data],2,FALSE),0)</f>
        <v>0</v>
      </c>
      <c r="E28" s="27"/>
      <c r="F28" s="173"/>
    </row>
    <row r="29" spans="1:6" ht="15" thickBot="1" x14ac:dyDescent="0.4">
      <c r="A29" s="296"/>
      <c r="B29" s="297"/>
      <c r="C29" s="297"/>
      <c r="D29" s="297"/>
      <c r="E29" s="298"/>
      <c r="F29" s="28">
        <f>SUM(E20:E28)</f>
        <v>7499600</v>
      </c>
    </row>
    <row r="30" spans="1:6" x14ac:dyDescent="0.35">
      <c r="A30" s="33" t="s">
        <v>88</v>
      </c>
      <c r="B30" s="34" t="s">
        <v>83</v>
      </c>
      <c r="C30" s="35" t="s">
        <v>84</v>
      </c>
      <c r="D30" s="36" t="s">
        <v>89</v>
      </c>
      <c r="E30" s="37" t="s">
        <v>86</v>
      </c>
      <c r="F30" s="280"/>
    </row>
    <row r="31" spans="1:6" x14ac:dyDescent="0.35">
      <c r="A31" s="38" t="s">
        <v>272</v>
      </c>
      <c r="B31" s="34">
        <v>1</v>
      </c>
      <c r="C31" s="35">
        <v>6.46</v>
      </c>
      <c r="D31" s="39">
        <f>'tabla salarial'!AS4</f>
        <v>555393.74067333317</v>
      </c>
      <c r="E31" s="37">
        <f>B31*C31*D31</f>
        <v>3587843.5647497321</v>
      </c>
      <c r="F31" s="281"/>
    </row>
    <row r="32" spans="1:6" x14ac:dyDescent="0.35">
      <c r="A32" s="107" t="s">
        <v>273</v>
      </c>
      <c r="B32" s="20">
        <v>1</v>
      </c>
      <c r="C32" s="35">
        <v>6.46</v>
      </c>
      <c r="D32" s="39">
        <f>'tabla salarial'!AS4</f>
        <v>555393.74067333317</v>
      </c>
      <c r="E32" s="21">
        <f>B32*C32*D32</f>
        <v>3587843.5647497321</v>
      </c>
      <c r="F32" s="281"/>
    </row>
    <row r="33" spans="1:6" x14ac:dyDescent="0.35">
      <c r="A33" s="107" t="s">
        <v>274</v>
      </c>
      <c r="B33" s="20">
        <v>1</v>
      </c>
      <c r="C33" s="35">
        <v>19.7</v>
      </c>
      <c r="D33" s="39">
        <f>'tabla salarial'!AS7</f>
        <v>371571.3297066667</v>
      </c>
      <c r="E33" s="21">
        <f>B33*C33*D33</f>
        <v>7319955.1952213338</v>
      </c>
      <c r="F33" s="281"/>
    </row>
    <row r="34" spans="1:6" x14ac:dyDescent="0.35">
      <c r="A34" s="107" t="s">
        <v>223</v>
      </c>
      <c r="B34" s="20">
        <v>1</v>
      </c>
      <c r="C34" s="35">
        <v>6.46</v>
      </c>
      <c r="D34" s="39">
        <f>'tabla salarial'!AS8</f>
        <v>355821.87609999999</v>
      </c>
      <c r="E34" s="21">
        <f>B34*C34*D34</f>
        <v>2298609.3196060001</v>
      </c>
      <c r="F34" s="281"/>
    </row>
    <row r="35" spans="1:6" x14ac:dyDescent="0.35">
      <c r="A35" s="107" t="s">
        <v>275</v>
      </c>
      <c r="B35" s="20">
        <v>4</v>
      </c>
      <c r="C35" s="35">
        <v>19.7</v>
      </c>
      <c r="D35" s="39">
        <f>'tabla salarial'!AS9</f>
        <v>382109.06042666658</v>
      </c>
      <c r="E35" s="21">
        <f>B35*C35*D35</f>
        <v>30110193.961621325</v>
      </c>
      <c r="F35" s="281"/>
    </row>
    <row r="36" spans="1:6" x14ac:dyDescent="0.35">
      <c r="A36" s="287"/>
      <c r="B36" s="287"/>
      <c r="C36" s="287"/>
      <c r="D36" s="287"/>
      <c r="E36" s="287"/>
      <c r="F36" s="42">
        <f>SUM(E31:E35)</f>
        <v>46904445.60594812</v>
      </c>
    </row>
    <row r="37" spans="1:6" x14ac:dyDescent="0.35">
      <c r="A37" s="33" t="s">
        <v>279</v>
      </c>
      <c r="B37" s="34" t="s">
        <v>83</v>
      </c>
      <c r="C37" s="35" t="s">
        <v>84</v>
      </c>
      <c r="D37" s="36" t="s">
        <v>269</v>
      </c>
      <c r="E37" s="37" t="s">
        <v>86</v>
      </c>
      <c r="F37" s="283"/>
    </row>
    <row r="38" spans="1:6" x14ac:dyDescent="0.35">
      <c r="A38" s="108" t="s">
        <v>240</v>
      </c>
      <c r="B38" s="108">
        <v>1</v>
      </c>
      <c r="C38" s="108">
        <v>1</v>
      </c>
      <c r="D38" s="108">
        <f>IFERROR(VLOOKUP(A38,[1]!TablaTransporte[#Data],2,FALSE),0)</f>
        <v>550000</v>
      </c>
      <c r="E38" s="110">
        <f>B38*C38*D38</f>
        <v>550000</v>
      </c>
      <c r="F38" s="284"/>
    </row>
    <row r="39" spans="1:6" ht="15.5" x14ac:dyDescent="0.35">
      <c r="A39" s="122" t="s">
        <v>285</v>
      </c>
      <c r="B39" s="108">
        <v>1</v>
      </c>
      <c r="C39" s="108">
        <v>6</v>
      </c>
      <c r="D39" s="108">
        <v>550000</v>
      </c>
      <c r="E39" s="108">
        <f>B39*C39*D39</f>
        <v>3300000</v>
      </c>
      <c r="F39" s="284"/>
    </row>
    <row r="40" spans="1:6" x14ac:dyDescent="0.35">
      <c r="A40" s="108"/>
      <c r="B40" s="108"/>
      <c r="C40" s="108"/>
      <c r="D40" s="108">
        <f>IFERROR(VLOOKUP(A40,[1]!TablaTransporte[#Data],2,FALSE),0)</f>
        <v>0</v>
      </c>
      <c r="E40" s="108"/>
      <c r="F40" s="284"/>
    </row>
    <row r="41" spans="1:6" ht="27.5" customHeight="1" x14ac:dyDescent="0.35">
      <c r="A41" s="108"/>
      <c r="B41" s="108"/>
      <c r="C41" s="108"/>
      <c r="D41" s="108">
        <f>IFERROR(VLOOKUP(A41,[1]!TablaTransporte[#Data],2,FALSE),0)</f>
        <v>0</v>
      </c>
      <c r="E41" s="108"/>
      <c r="F41" s="285"/>
    </row>
    <row r="42" spans="1:6" x14ac:dyDescent="0.35">
      <c r="A42" s="43"/>
      <c r="B42" s="43"/>
      <c r="C42" s="43"/>
      <c r="D42" s="43"/>
      <c r="E42" s="43"/>
      <c r="F42" s="42">
        <f>SUM(E38:E41)</f>
        <v>3850000</v>
      </c>
    </row>
    <row r="43" spans="1:6" x14ac:dyDescent="0.35">
      <c r="A43" s="288"/>
      <c r="B43" s="289"/>
      <c r="C43" s="289"/>
      <c r="D43" s="289"/>
      <c r="E43" s="290"/>
      <c r="F43" s="42">
        <f>F18+F29+F36+F42</f>
        <v>58585245.60594812</v>
      </c>
    </row>
    <row r="44" spans="1:6" ht="15" thickBot="1" x14ac:dyDescent="0.4">
      <c r="A44" s="291"/>
      <c r="B44" s="292"/>
      <c r="C44" s="292"/>
      <c r="D44" s="292"/>
      <c r="E44" s="293"/>
      <c r="F44" s="44">
        <f>F43*A44</f>
        <v>0</v>
      </c>
    </row>
    <row r="45" spans="1:6" ht="15" thickBot="1" x14ac:dyDescent="0.4">
      <c r="A45" s="299"/>
      <c r="B45" s="300"/>
      <c r="C45" s="300"/>
      <c r="D45" s="300"/>
      <c r="E45" s="301"/>
      <c r="F45" s="28">
        <f>F43+F44</f>
        <v>58585245.60594812</v>
      </c>
    </row>
    <row r="46" spans="1:6" ht="15" thickBot="1" x14ac:dyDescent="0.4">
      <c r="A46" s="302"/>
      <c r="B46" s="300"/>
      <c r="C46" s="300"/>
      <c r="D46" s="300"/>
      <c r="E46" s="301"/>
      <c r="F46" s="28">
        <f>F45*A46</f>
        <v>0</v>
      </c>
    </row>
    <row r="47" spans="1:6" ht="15" thickBot="1" x14ac:dyDescent="0.4">
      <c r="A47" s="286"/>
      <c r="B47" s="286"/>
      <c r="C47" s="286"/>
      <c r="D47" s="286"/>
      <c r="E47" s="286"/>
      <c r="F47" s="28">
        <f>F45+F46</f>
        <v>58585245.60594812</v>
      </c>
    </row>
    <row r="48" spans="1:6" x14ac:dyDescent="0.35">
      <c r="F48" s="176">
        <f>F47/F3</f>
        <v>114873.03059989828</v>
      </c>
    </row>
  </sheetData>
  <mergeCells count="11">
    <mergeCell ref="A1:F1"/>
    <mergeCell ref="A18:E18"/>
    <mergeCell ref="A29:E29"/>
    <mergeCell ref="A45:E45"/>
    <mergeCell ref="A46:E46"/>
    <mergeCell ref="A47:E47"/>
    <mergeCell ref="F30:F35"/>
    <mergeCell ref="A36:E36"/>
    <mergeCell ref="A43:E43"/>
    <mergeCell ref="A44:E44"/>
    <mergeCell ref="F37:F41"/>
  </mergeCells>
  <dataValidations count="4">
    <dataValidation type="list" allowBlank="1" showInputMessage="1" promptTitle="Seleccione un equipo" prompt="Elija de la lista o escriba un elemento nuevo si no aparece." sqref="A100:A179" xr:uid="{DA1BF22A-11D7-4248-80A8-BA7C1D71C06B}">
      <formula1>"TablaEquipos"</formula1>
    </dataValidation>
    <dataValidation type="list" allowBlank="1" showInputMessage="1" promptTitle="Seleccione un equipo" prompt="Elija de la lista o escriba un elemento nuevo si no aparece." sqref="A39:A41" xr:uid="{C1C7014A-A737-4091-989C-75A6A600CD48}">
      <formula1>ListaTransporte</formula1>
    </dataValidation>
    <dataValidation type="list" allowBlank="1" showInputMessage="1" promptTitle="Seleccione un equipo" prompt="Elija de la lista o escriba un elemento nuevo si no aparece." sqref="A3:A18" xr:uid="{20B8572D-7CE3-4948-83D7-16C100FABEED}">
      <formula1>ListaEquipos</formula1>
    </dataValidation>
    <dataValidation type="list" allowBlank="1" showInputMessage="1" promptTitle="Seleccione un material" prompt="Elija de la lista o escriba un elemento nuevo si no aparece." sqref="A20:A29" xr:uid="{68A0BCBF-3C0A-4414-B47F-B871DC192934}">
      <formula1>ListaMateriales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F167054A-6DBC-4D28-9674-34C6DA923BC8}">
          <x14:formula1>
            <xm:f>'D:\RFC SAS 2026\COTIZACIONES 2026\[COT-105-2026  r.nuñez adecuacion punto de control odc caucasia.xlsx]herramientas mat transp y mano'!#REF!</xm:f>
          </x14:formula1>
          <xm:sqref>A38 A42:A99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04DA-26B1-4F24-91AB-E006FD277755}">
  <sheetPr>
    <tabColor rgb="FF00B050"/>
  </sheetPr>
  <dimension ref="A1:XEX55"/>
  <sheetViews>
    <sheetView topLeftCell="A37" workbookViewId="0">
      <selection activeCell="C49" sqref="C49"/>
    </sheetView>
  </sheetViews>
  <sheetFormatPr baseColWidth="10" defaultRowHeight="14.5" x14ac:dyDescent="0.35"/>
  <cols>
    <col min="1" max="1" width="28.90625" customWidth="1"/>
    <col min="2" max="2" width="5.36328125" bestFit="1" customWidth="1"/>
    <col min="3" max="3" width="9.6328125" bestFit="1" customWidth="1"/>
    <col min="4" max="4" width="10.54296875" bestFit="1" customWidth="1"/>
    <col min="5" max="5" width="15.36328125" customWidth="1"/>
    <col min="6" max="6" width="14.7265625" customWidth="1"/>
  </cols>
  <sheetData>
    <row r="1" spans="1:6" x14ac:dyDescent="0.35">
      <c r="A1" s="279" t="s">
        <v>21</v>
      </c>
      <c r="B1" s="279"/>
      <c r="C1" s="279"/>
      <c r="D1" s="279"/>
      <c r="E1" s="279"/>
      <c r="F1" s="279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168</v>
      </c>
    </row>
    <row r="3" spans="1:6" x14ac:dyDescent="0.35">
      <c r="A3" s="33"/>
      <c r="B3" s="34"/>
      <c r="C3" s="45"/>
      <c r="D3" s="46"/>
      <c r="E3" s="37"/>
      <c r="F3" s="77">
        <v>9</v>
      </c>
    </row>
    <row r="4" spans="1:6" x14ac:dyDescent="0.35">
      <c r="A4" s="24" t="s">
        <v>225</v>
      </c>
      <c r="B4" s="22">
        <v>2</v>
      </c>
      <c r="C4" s="23">
        <v>24</v>
      </c>
      <c r="D4" s="24">
        <f>IFERROR(VLOOKUP(A4,[1]!TablaEquipos[#Data],2,FALSE),0)</f>
        <v>1500</v>
      </c>
      <c r="E4" s="25">
        <f>B4*C4*D4</f>
        <v>72000</v>
      </c>
      <c r="F4" s="62"/>
    </row>
    <row r="5" spans="1:6" x14ac:dyDescent="0.35">
      <c r="A5" s="26" t="s">
        <v>226</v>
      </c>
      <c r="B5" s="22">
        <v>2</v>
      </c>
      <c r="C5" s="23">
        <v>24</v>
      </c>
      <c r="D5" s="24">
        <f>IFERROR(VLOOKUP(A5,[1]!TablaEquipos[#Data],2,FALSE),0)</f>
        <v>700</v>
      </c>
      <c r="E5" s="25">
        <f>B5*C5*D5</f>
        <v>33600</v>
      </c>
      <c r="F5" s="62"/>
    </row>
    <row r="6" spans="1:6" x14ac:dyDescent="0.35">
      <c r="A6" s="26" t="s">
        <v>227</v>
      </c>
      <c r="B6" s="22">
        <v>1</v>
      </c>
      <c r="C6" s="23">
        <v>24</v>
      </c>
      <c r="D6" s="24">
        <f>IFERROR(VLOOKUP(A6,[1]!TablaEquipos[#Data],2,FALSE),0)</f>
        <v>700</v>
      </c>
      <c r="E6" s="25">
        <f t="shared" ref="E6:E28" si="0">B6*C6*D6</f>
        <v>16800</v>
      </c>
      <c r="F6" s="62"/>
    </row>
    <row r="7" spans="1:6" x14ac:dyDescent="0.35">
      <c r="A7" s="24" t="s">
        <v>228</v>
      </c>
      <c r="B7" s="22">
        <v>1</v>
      </c>
      <c r="C7" s="23">
        <v>24</v>
      </c>
      <c r="D7" s="24">
        <f>IFERROR(VLOOKUP(A7,[1]!TablaEquipos[#Data],2,FALSE),0)</f>
        <v>1500</v>
      </c>
      <c r="E7" s="25">
        <f t="shared" si="0"/>
        <v>36000</v>
      </c>
      <c r="F7" s="62"/>
    </row>
    <row r="8" spans="1:6" x14ac:dyDescent="0.35">
      <c r="A8" s="26" t="s">
        <v>230</v>
      </c>
      <c r="B8" s="22">
        <v>1</v>
      </c>
      <c r="C8" s="23">
        <v>24</v>
      </c>
      <c r="D8" s="24">
        <f>IFERROR(VLOOKUP(A8,[1]!TablaEquipos[#Data],2,FALSE),0)</f>
        <v>15000</v>
      </c>
      <c r="E8" s="25">
        <f t="shared" si="0"/>
        <v>360000</v>
      </c>
      <c r="F8" s="62"/>
    </row>
    <row r="9" spans="1:6" x14ac:dyDescent="0.35">
      <c r="A9" s="24" t="s">
        <v>231</v>
      </c>
      <c r="B9" s="22">
        <v>2</v>
      </c>
      <c r="C9" s="23">
        <v>24</v>
      </c>
      <c r="D9" s="24">
        <f>IFERROR(VLOOKUP(A9,[1]!TablaEquipos[#Data],2,FALSE),0)</f>
        <v>1500</v>
      </c>
      <c r="E9" s="25">
        <f t="shared" si="0"/>
        <v>72000</v>
      </c>
      <c r="F9" s="62"/>
    </row>
    <row r="10" spans="1:6" x14ac:dyDescent="0.35">
      <c r="A10" s="81" t="s">
        <v>232</v>
      </c>
      <c r="B10" s="82">
        <v>1</v>
      </c>
      <c r="C10" s="23">
        <v>24</v>
      </c>
      <c r="D10" s="24">
        <f>IFERROR(VLOOKUP(A10,[1]!TablaEquipos[#Data],2,FALSE),0)</f>
        <v>500</v>
      </c>
      <c r="E10" s="83">
        <f t="shared" si="0"/>
        <v>12000</v>
      </c>
      <c r="F10" s="62"/>
    </row>
    <row r="11" spans="1:6" x14ac:dyDescent="0.35">
      <c r="A11" s="24" t="s">
        <v>233</v>
      </c>
      <c r="B11" s="22">
        <v>1</v>
      </c>
      <c r="C11" s="23">
        <v>24</v>
      </c>
      <c r="D11" s="24">
        <f>IFERROR(VLOOKUP(A11,[1]!TablaEquipos[#Data],2,FALSE),0)</f>
        <v>500</v>
      </c>
      <c r="E11" s="25">
        <f t="shared" si="0"/>
        <v>12000</v>
      </c>
      <c r="F11" s="62"/>
    </row>
    <row r="12" spans="1:6" x14ac:dyDescent="0.35">
      <c r="A12" s="24" t="s">
        <v>229</v>
      </c>
      <c r="B12" s="22">
        <v>2</v>
      </c>
      <c r="C12" s="23">
        <v>24</v>
      </c>
      <c r="D12" s="24">
        <f>IFERROR(VLOOKUP(A12,[1]!TablaEquipos[#Data],2,FALSE),0)</f>
        <v>1500</v>
      </c>
      <c r="E12" s="25">
        <f t="shared" si="0"/>
        <v>72000</v>
      </c>
      <c r="F12" s="62"/>
    </row>
    <row r="13" spans="1:6" ht="15.5" x14ac:dyDescent="0.35">
      <c r="A13" s="133" t="s">
        <v>317</v>
      </c>
      <c r="B13" s="22">
        <v>2</v>
      </c>
      <c r="C13" s="23">
        <v>240</v>
      </c>
      <c r="D13" s="24">
        <f>IFERROR(VLOOKUP(A13,[1]!TablaEquipos[#Data],2,FALSE),0)</f>
        <v>27500</v>
      </c>
      <c r="E13" s="25">
        <f t="shared" si="0"/>
        <v>13200000</v>
      </c>
      <c r="F13" s="62"/>
    </row>
    <row r="14" spans="1:6" ht="15.5" x14ac:dyDescent="0.35">
      <c r="A14" s="133" t="s">
        <v>318</v>
      </c>
      <c r="B14" s="22">
        <v>1</v>
      </c>
      <c r="C14" s="23">
        <v>240</v>
      </c>
      <c r="D14" s="24">
        <f>IFERROR(VLOOKUP(A14,[1]!TablaEquipos[#Data],2,FALSE),0)</f>
        <v>30000</v>
      </c>
      <c r="E14" s="25">
        <f t="shared" si="0"/>
        <v>7200000</v>
      </c>
      <c r="F14" s="62"/>
    </row>
    <row r="15" spans="1:6" ht="15.5" x14ac:dyDescent="0.35">
      <c r="A15" s="133" t="s">
        <v>320</v>
      </c>
      <c r="B15" s="22">
        <v>2</v>
      </c>
      <c r="C15" s="23">
        <v>240</v>
      </c>
      <c r="D15" s="24">
        <f>IFERROR(VLOOKUP(A15,[1]!TablaEquipos[#Data],2,FALSE),0)</f>
        <v>5000</v>
      </c>
      <c r="E15" s="25">
        <f t="shared" si="0"/>
        <v>2400000</v>
      </c>
      <c r="F15" s="62"/>
    </row>
    <row r="16" spans="1:6" ht="15.5" x14ac:dyDescent="0.35">
      <c r="A16" s="122" t="s">
        <v>321</v>
      </c>
      <c r="B16" s="22">
        <v>10</v>
      </c>
      <c r="C16" s="23">
        <v>240</v>
      </c>
      <c r="D16" s="24">
        <f>IFERROR(VLOOKUP(A16,[1]!TablaEquipos[#Data],2,FALSE),0)</f>
        <v>1000</v>
      </c>
      <c r="E16" s="25">
        <f t="shared" si="0"/>
        <v>2400000</v>
      </c>
      <c r="F16" s="62"/>
    </row>
    <row r="17" spans="1:6 16378:16378" ht="15.5" x14ac:dyDescent="0.35">
      <c r="A17" s="133" t="s">
        <v>322</v>
      </c>
      <c r="B17" s="78">
        <v>1</v>
      </c>
      <c r="C17" s="23">
        <v>240</v>
      </c>
      <c r="D17" s="24">
        <f>IFERROR(VLOOKUP(A17,[1]!TablaEquipos[#Data],2,FALSE),0)</f>
        <v>3000</v>
      </c>
      <c r="E17" s="25">
        <f t="shared" si="0"/>
        <v>720000</v>
      </c>
      <c r="F17" s="62"/>
    </row>
    <row r="18" spans="1:6 16378:16378" ht="15.5" x14ac:dyDescent="0.35">
      <c r="A18" s="122" t="s">
        <v>323</v>
      </c>
      <c r="B18" s="78">
        <v>1</v>
      </c>
      <c r="C18" s="23">
        <v>240</v>
      </c>
      <c r="D18" s="24">
        <f>IFERROR(VLOOKUP(A18,[1]!TablaEquipos[#Data],2,FALSE),0)</f>
        <v>4000</v>
      </c>
      <c r="E18" s="25">
        <f t="shared" si="0"/>
        <v>960000</v>
      </c>
      <c r="F18" s="62"/>
    </row>
    <row r="19" spans="1:6 16378:16378" ht="15.5" x14ac:dyDescent="0.35">
      <c r="A19" s="122" t="s">
        <v>329</v>
      </c>
      <c r="B19" s="22">
        <v>3</v>
      </c>
      <c r="C19" s="23">
        <v>240</v>
      </c>
      <c r="D19" s="24">
        <f>IFERROR(VLOOKUP(A19,[1]!TablaEquipos[#Data],2,FALSE),0)</f>
        <v>500</v>
      </c>
      <c r="E19" s="83">
        <f t="shared" si="0"/>
        <v>360000</v>
      </c>
      <c r="F19" s="62"/>
    </row>
    <row r="20" spans="1:6 16378:16378" ht="15.5" x14ac:dyDescent="0.35">
      <c r="A20" s="141" t="s">
        <v>330</v>
      </c>
      <c r="B20" s="22">
        <v>3</v>
      </c>
      <c r="C20" s="23">
        <v>240</v>
      </c>
      <c r="D20" s="24">
        <f>IFERROR(VLOOKUP(A20,[1]!TablaEquipos[#Data],2,FALSE),0)</f>
        <v>500</v>
      </c>
      <c r="E20" s="25">
        <f t="shared" si="0"/>
        <v>360000</v>
      </c>
      <c r="F20" s="62"/>
    </row>
    <row r="21" spans="1:6 16378:16378" ht="31" x14ac:dyDescent="0.35">
      <c r="A21" s="122" t="s">
        <v>331</v>
      </c>
      <c r="B21" s="22">
        <v>1</v>
      </c>
      <c r="C21" s="23">
        <v>240</v>
      </c>
      <c r="D21" s="24">
        <f>IFERROR(VLOOKUP(A21,[1]!TablaEquipos[#Data],2,FALSE),0)</f>
        <v>700</v>
      </c>
      <c r="E21" s="25">
        <f t="shared" si="0"/>
        <v>168000</v>
      </c>
      <c r="F21" s="62"/>
    </row>
    <row r="22" spans="1:6 16378:16378" ht="12.5" customHeight="1" x14ac:dyDescent="0.35">
      <c r="A22" s="24" t="s">
        <v>332</v>
      </c>
      <c r="B22" s="22">
        <v>1.5</v>
      </c>
      <c r="C22" s="23">
        <v>240</v>
      </c>
      <c r="D22" s="24">
        <f>IFERROR(VLOOKUP(A22,[1]!TablaEquipos[#Data],2,FALSE),0)</f>
        <v>58333</v>
      </c>
      <c r="E22" s="25">
        <f t="shared" si="0"/>
        <v>20999880</v>
      </c>
      <c r="F22" s="62"/>
    </row>
    <row r="23" spans="1:6 16378:16378" x14ac:dyDescent="0.35">
      <c r="A23" s="24" t="s">
        <v>333</v>
      </c>
      <c r="B23" s="22">
        <v>12</v>
      </c>
      <c r="C23" s="23">
        <v>240</v>
      </c>
      <c r="D23" s="24">
        <f>IFERROR(VLOOKUP(A23,[1]!TablaEquipos[#Data],2,FALSE),0)</f>
        <v>750</v>
      </c>
      <c r="E23" s="25">
        <f t="shared" si="0"/>
        <v>2160000</v>
      </c>
      <c r="F23" s="62"/>
    </row>
    <row r="24" spans="1:6 16378:16378" x14ac:dyDescent="0.35">
      <c r="A24" s="24"/>
      <c r="B24" s="22"/>
      <c r="C24" s="23"/>
      <c r="D24" s="24"/>
      <c r="E24" s="25"/>
      <c r="F24" s="62"/>
    </row>
    <row r="25" spans="1:6 16378:16378" x14ac:dyDescent="0.35">
      <c r="A25" s="24" t="s">
        <v>313</v>
      </c>
      <c r="B25" s="22">
        <v>1</v>
      </c>
      <c r="C25" s="23">
        <v>240</v>
      </c>
      <c r="D25" s="24">
        <f>IFERROR(VLOOKUP(A25,[1]!TablaEquipos[#Data],2,FALSE),0)</f>
        <v>1500</v>
      </c>
      <c r="E25" s="25">
        <f t="shared" si="0"/>
        <v>360000</v>
      </c>
      <c r="F25" s="62"/>
    </row>
    <row r="26" spans="1:6 16378:16378" x14ac:dyDescent="0.35">
      <c r="A26" s="24"/>
      <c r="B26" s="22"/>
      <c r="C26" s="23">
        <v>240</v>
      </c>
      <c r="D26" s="24"/>
      <c r="E26" s="25"/>
      <c r="F26" s="62"/>
    </row>
    <row r="27" spans="1:6 16378:16378" x14ac:dyDescent="0.35">
      <c r="A27" s="24"/>
      <c r="B27" s="22"/>
      <c r="C27" s="23">
        <v>240</v>
      </c>
      <c r="D27" s="24"/>
      <c r="E27" s="25"/>
      <c r="F27" s="62"/>
    </row>
    <row r="28" spans="1:6 16378:16378" x14ac:dyDescent="0.35">
      <c r="A28" s="24"/>
      <c r="B28" s="22"/>
      <c r="C28" s="23"/>
      <c r="D28" s="24">
        <f>IFERROR(VLOOKUP(A28,[1]!TablaEquipos[#Data],2,FALSE),0)</f>
        <v>0</v>
      </c>
      <c r="E28" s="25">
        <f t="shared" si="0"/>
        <v>0</v>
      </c>
      <c r="F28" s="62"/>
    </row>
    <row r="29" spans="1:6 16378:16378" ht="15" thickBot="1" x14ac:dyDescent="0.4">
      <c r="A29" s="294"/>
      <c r="B29" s="295"/>
      <c r="C29" s="295"/>
      <c r="D29" s="295"/>
      <c r="E29" s="295"/>
      <c r="F29" s="84">
        <f>SUM(E4:E28)</f>
        <v>51974280</v>
      </c>
    </row>
    <row r="30" spans="1:6 16378:16378" x14ac:dyDescent="0.35">
      <c r="A30" s="33" t="s">
        <v>270</v>
      </c>
      <c r="B30" s="34" t="s">
        <v>83</v>
      </c>
      <c r="C30" s="45" t="s">
        <v>84</v>
      </c>
      <c r="D30" s="46" t="s">
        <v>269</v>
      </c>
      <c r="E30" s="37" t="s">
        <v>86</v>
      </c>
      <c r="F30" s="168"/>
      <c r="XEX30" s="80">
        <f>SUM(D28)</f>
        <v>0</v>
      </c>
    </row>
    <row r="31" spans="1:6 16378:16378" x14ac:dyDescent="0.35">
      <c r="A31" s="30" t="s">
        <v>254</v>
      </c>
      <c r="B31" s="22">
        <v>50</v>
      </c>
      <c r="C31" s="29"/>
      <c r="D31" s="27">
        <f>IFERROR(VLOOKUP(A31,[1]!TablaMateriales[#Data],2,FALSE),0)</f>
        <v>20000</v>
      </c>
      <c r="E31" s="25">
        <f>B31*D31</f>
        <v>1000000</v>
      </c>
      <c r="F31" s="155"/>
    </row>
    <row r="32" spans="1:6 16378:16378" x14ac:dyDescent="0.35">
      <c r="A32" s="30" t="s">
        <v>257</v>
      </c>
      <c r="B32" s="78">
        <v>10</v>
      </c>
      <c r="C32" s="23"/>
      <c r="D32" s="27">
        <f>IFERROR(VLOOKUP(A32,[1]!TablaMateriales[#Data],2,FALSE),0)</f>
        <v>9500</v>
      </c>
      <c r="E32" s="25">
        <f>B32*D32</f>
        <v>95000</v>
      </c>
      <c r="F32" s="155"/>
    </row>
    <row r="33" spans="1:6" ht="23" x14ac:dyDescent="0.35">
      <c r="A33" s="79" t="s">
        <v>261</v>
      </c>
      <c r="B33" s="78">
        <v>5</v>
      </c>
      <c r="C33" s="23"/>
      <c r="D33" s="27">
        <f>IFERROR(VLOOKUP(A33,[1]!TablaMateriales[#Data],2,FALSE),0)</f>
        <v>55000</v>
      </c>
      <c r="E33" s="25">
        <f>B33*D33</f>
        <v>275000</v>
      </c>
      <c r="F33" s="155"/>
    </row>
    <row r="34" spans="1:6" x14ac:dyDescent="0.35">
      <c r="A34" s="30" t="s">
        <v>262</v>
      </c>
      <c r="B34" s="78">
        <v>5</v>
      </c>
      <c r="C34" s="23"/>
      <c r="D34" s="27">
        <f>IFERROR(VLOOKUP(A34,[1]!TablaMateriales[#Data],2,FALSE),0)</f>
        <v>15900</v>
      </c>
      <c r="E34" s="25">
        <f>B34*D34</f>
        <v>79500</v>
      </c>
      <c r="F34" s="155"/>
    </row>
    <row r="35" spans="1:6" ht="15.5" x14ac:dyDescent="0.35">
      <c r="A35" s="111" t="s">
        <v>243</v>
      </c>
      <c r="B35" s="78">
        <v>20</v>
      </c>
      <c r="C35" s="23"/>
      <c r="D35" s="27">
        <f>IFERROR(VLOOKUP(A35,[1]!TablaMateriales[#Data],2,FALSE),0)</f>
        <v>9500</v>
      </c>
      <c r="E35" s="27">
        <f>B35*D35</f>
        <v>190000</v>
      </c>
      <c r="F35" s="173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173"/>
    </row>
    <row r="37" spans="1:6" ht="15" thickBot="1" x14ac:dyDescent="0.4">
      <c r="A37" s="31"/>
      <c r="B37" s="78"/>
      <c r="C37" s="23"/>
      <c r="D37" s="27">
        <f>IFERROR(VLOOKUP(A37,[1]!TablaMateriales[#Data],2,FALSE),0)</f>
        <v>0</v>
      </c>
      <c r="E37" s="27"/>
      <c r="F37" s="173"/>
    </row>
    <row r="38" spans="1:6" ht="15" thickBot="1" x14ac:dyDescent="0.4">
      <c r="A38" s="296"/>
      <c r="B38" s="297"/>
      <c r="C38" s="297"/>
      <c r="D38" s="297"/>
      <c r="E38" s="298"/>
      <c r="F38" s="28">
        <f>SUM(E31:E37)</f>
        <v>1639500</v>
      </c>
    </row>
    <row r="39" spans="1:6" x14ac:dyDescent="0.35">
      <c r="A39" s="33" t="s">
        <v>88</v>
      </c>
      <c r="B39" s="34" t="s">
        <v>83</v>
      </c>
      <c r="C39" s="35" t="s">
        <v>84</v>
      </c>
      <c r="D39" s="36" t="s">
        <v>89</v>
      </c>
      <c r="E39" s="37" t="s">
        <v>86</v>
      </c>
      <c r="F39" s="280"/>
    </row>
    <row r="40" spans="1:6" x14ac:dyDescent="0.35">
      <c r="A40" s="38" t="s">
        <v>272</v>
      </c>
      <c r="B40" s="34">
        <v>1</v>
      </c>
      <c r="C40" s="35">
        <v>9.4</v>
      </c>
      <c r="D40" s="39">
        <f>'tabla salarial'!AS4</f>
        <v>555393.74067333317</v>
      </c>
      <c r="E40" s="37">
        <f>B40*C40*D40</f>
        <v>5220701.162329332</v>
      </c>
      <c r="F40" s="281"/>
    </row>
    <row r="41" spans="1:6" x14ac:dyDescent="0.35">
      <c r="A41" s="107" t="s">
        <v>273</v>
      </c>
      <c r="B41" s="20">
        <v>1</v>
      </c>
      <c r="C41" s="35">
        <v>9.4</v>
      </c>
      <c r="D41" s="39">
        <f>'tabla salarial'!AS4</f>
        <v>555393.74067333317</v>
      </c>
      <c r="E41" s="21">
        <f>B41*C41*D41</f>
        <v>5220701.162329332</v>
      </c>
      <c r="F41" s="281"/>
    </row>
    <row r="42" spans="1:6" x14ac:dyDescent="0.35">
      <c r="A42" s="109" t="s">
        <v>274</v>
      </c>
      <c r="B42" s="20">
        <v>1</v>
      </c>
      <c r="C42" s="35">
        <v>28.2</v>
      </c>
      <c r="D42" s="39">
        <f>'tabla salarial'!AS7</f>
        <v>371571.3297066667</v>
      </c>
      <c r="E42" s="21">
        <f>B42*C42*D42</f>
        <v>10478311.497728001</v>
      </c>
      <c r="F42" s="281"/>
    </row>
    <row r="43" spans="1:6" x14ac:dyDescent="0.35">
      <c r="A43" s="109" t="s">
        <v>223</v>
      </c>
      <c r="B43" s="20">
        <v>1</v>
      </c>
      <c r="C43" s="35">
        <v>9.4</v>
      </c>
      <c r="D43" s="39">
        <f>'tabla salarial'!AS8</f>
        <v>355821.87609999999</v>
      </c>
      <c r="E43" s="21">
        <f>B43*C43*D43</f>
        <v>3344725.63534</v>
      </c>
      <c r="F43" s="281"/>
    </row>
    <row r="44" spans="1:6" x14ac:dyDescent="0.35">
      <c r="A44" s="107" t="s">
        <v>275</v>
      </c>
      <c r="B44" s="20">
        <v>2</v>
      </c>
      <c r="C44" s="35">
        <v>28.2</v>
      </c>
      <c r="D44" s="39">
        <f>'tabla salarial'!AS9</f>
        <v>382109.06042666658</v>
      </c>
      <c r="E44" s="21">
        <f>B44*C44*D44</f>
        <v>21550951.008063994</v>
      </c>
      <c r="F44" s="281"/>
    </row>
    <row r="45" spans="1:6" x14ac:dyDescent="0.35">
      <c r="A45" s="287"/>
      <c r="B45" s="287"/>
      <c r="C45" s="287"/>
      <c r="D45" s="287"/>
      <c r="E45" s="287"/>
      <c r="F45" s="42">
        <f>SUM(E40:E44)</f>
        <v>45815390.465790659</v>
      </c>
    </row>
    <row r="46" spans="1:6" x14ac:dyDescent="0.35">
      <c r="A46" s="33" t="s">
        <v>279</v>
      </c>
      <c r="B46" s="34" t="s">
        <v>83</v>
      </c>
      <c r="C46" s="35" t="s">
        <v>84</v>
      </c>
      <c r="D46" s="36" t="s">
        <v>269</v>
      </c>
      <c r="E46" s="37" t="s">
        <v>86</v>
      </c>
      <c r="F46" s="283"/>
    </row>
    <row r="47" spans="1:6" x14ac:dyDescent="0.35">
      <c r="A47" s="164" t="s">
        <v>240</v>
      </c>
      <c r="B47" s="108">
        <v>1</v>
      </c>
      <c r="C47" s="108">
        <v>2</v>
      </c>
      <c r="D47" s="108">
        <f>IFERROR(VLOOKUP(A47,[1]!TablaTransporte[#Data],2,FALSE),0)</f>
        <v>550000</v>
      </c>
      <c r="E47" s="110">
        <f>B47*C47*D47</f>
        <v>1100000</v>
      </c>
      <c r="F47" s="284"/>
    </row>
    <row r="48" spans="1:6" ht="15.5" x14ac:dyDescent="0.35">
      <c r="A48" s="122" t="s">
        <v>285</v>
      </c>
      <c r="B48" s="108">
        <v>1</v>
      </c>
      <c r="C48" s="108">
        <v>7</v>
      </c>
      <c r="D48" s="108">
        <v>550000</v>
      </c>
      <c r="E48" s="108">
        <f>B48*C48*D48</f>
        <v>3850000</v>
      </c>
      <c r="F48" s="285"/>
    </row>
    <row r="49" spans="1:6" x14ac:dyDescent="0.35">
      <c r="A49" s="43"/>
      <c r="B49" s="43"/>
      <c r="C49" s="43"/>
      <c r="D49" s="43"/>
      <c r="E49" s="43"/>
      <c r="F49" s="42">
        <f>SUM(E47:E48)</f>
        <v>4950000</v>
      </c>
    </row>
    <row r="50" spans="1:6" x14ac:dyDescent="0.35">
      <c r="A50" s="288"/>
      <c r="B50" s="289"/>
      <c r="C50" s="289"/>
      <c r="D50" s="289"/>
      <c r="E50" s="290"/>
      <c r="F50" s="42">
        <f>F29+F38+F45+F49</f>
        <v>104379170.46579066</v>
      </c>
    </row>
    <row r="51" spans="1:6" ht="15" thickBot="1" x14ac:dyDescent="0.4">
      <c r="A51" s="291"/>
      <c r="B51" s="292"/>
      <c r="C51" s="292"/>
      <c r="D51" s="292"/>
      <c r="E51" s="293"/>
      <c r="F51" s="44">
        <f>F50*A51</f>
        <v>0</v>
      </c>
    </row>
    <row r="52" spans="1:6" ht="15" thickBot="1" x14ac:dyDescent="0.4">
      <c r="A52" s="299"/>
      <c r="B52" s="300"/>
      <c r="C52" s="300"/>
      <c r="D52" s="300"/>
      <c r="E52" s="301"/>
      <c r="F52" s="28">
        <f>F50+F51</f>
        <v>104379170.46579066</v>
      </c>
    </row>
    <row r="53" spans="1:6" ht="15" thickBot="1" x14ac:dyDescent="0.4">
      <c r="A53" s="302"/>
      <c r="B53" s="300"/>
      <c r="C53" s="300"/>
      <c r="D53" s="300"/>
      <c r="E53" s="301"/>
      <c r="F53" s="28">
        <f>F52*A53</f>
        <v>0</v>
      </c>
    </row>
    <row r="54" spans="1:6" ht="15" thickBot="1" x14ac:dyDescent="0.4">
      <c r="A54" s="286"/>
      <c r="B54" s="286"/>
      <c r="C54" s="286"/>
      <c r="D54" s="286"/>
      <c r="E54" s="286"/>
      <c r="F54" s="28">
        <f>F52+F53</f>
        <v>104379170.46579066</v>
      </c>
    </row>
    <row r="55" spans="1:6" x14ac:dyDescent="0.35">
      <c r="F55" s="176">
        <f>F54/F3</f>
        <v>11597685.607310073</v>
      </c>
    </row>
  </sheetData>
  <mergeCells count="11">
    <mergeCell ref="A38:E38"/>
    <mergeCell ref="A1:F1"/>
    <mergeCell ref="A29:E29"/>
    <mergeCell ref="A52:E52"/>
    <mergeCell ref="A53:E53"/>
    <mergeCell ref="A54:E54"/>
    <mergeCell ref="F39:F44"/>
    <mergeCell ref="A45:E45"/>
    <mergeCell ref="A50:E50"/>
    <mergeCell ref="A51:E51"/>
    <mergeCell ref="F46:F48"/>
  </mergeCells>
  <dataValidations disablePrompts="1" count="4">
    <dataValidation type="list" allowBlank="1" showInputMessage="1" promptTitle="Seleccione un equipo" prompt="Elija de la lista o escriba un elemento nuevo si no aparece." sqref="A109:A188" xr:uid="{1854CD8E-19AF-4025-8670-ED6C16EE5769}">
      <formula1>"TablaEquipos"</formula1>
    </dataValidation>
    <dataValidation type="list" allowBlank="1" showInputMessage="1" promptTitle="Seleccione un equipo" prompt="Elija de la lista o escriba un elemento nuevo si no aparece." sqref="A48" xr:uid="{550C2FBB-28B3-4577-A131-63773BC760B5}">
      <formula1>ListaTransporte</formula1>
    </dataValidation>
    <dataValidation type="list" allowBlank="1" showInputMessage="1" promptTitle="Seleccione un equipo" prompt="Elija de la lista o escriba un elemento nuevo si no aparece." sqref="A3:A29" xr:uid="{70406194-A82E-4B52-A772-77D2311129B1}">
      <formula1>ListaEquipos</formula1>
    </dataValidation>
    <dataValidation type="list" allowBlank="1" showInputMessage="1" promptTitle="Seleccione un material" prompt="Elija de la lista o escriba un elemento nuevo si no aparece." sqref="A31:A38" xr:uid="{F998ADE6-F860-4689-B986-E966E921684C}">
      <formula1>ListaMateriales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promptTitle="Seleccione un equipo" prompt="Elija de la lista o escriba un elemento nuevo si no aparece." xr:uid="{7A006185-5B19-4E6F-846F-71BF9F303FA5}">
          <x14:formula1>
            <xm:f>'D:\RFC SAS 2026\COTIZACIONES 2026\[COT-105-2026  r.nuñez adecuacion punto de control odc caucasia.xlsx]herramientas mat transp y mano'!#REF!</xm:f>
          </x14:formula1>
          <xm:sqref>A47 A49:A108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8674-10DF-4410-8F44-BB11071B9688}">
  <sheetPr>
    <tabColor rgb="FF00B050"/>
  </sheetPr>
  <dimension ref="A1:F40"/>
  <sheetViews>
    <sheetView topLeftCell="A26" workbookViewId="0">
      <selection activeCell="D34" sqref="D34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5" max="5" width="11.453125" bestFit="1" customWidth="1"/>
    <col min="6" max="6" width="15.36328125" customWidth="1"/>
  </cols>
  <sheetData>
    <row r="1" spans="1:6" x14ac:dyDescent="0.35">
      <c r="A1" s="279" t="s">
        <v>214</v>
      </c>
      <c r="B1" s="279"/>
      <c r="C1" s="279"/>
      <c r="D1" s="279"/>
      <c r="E1" s="279"/>
      <c r="F1" s="279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311</v>
      </c>
    </row>
    <row r="3" spans="1:6" x14ac:dyDescent="0.35">
      <c r="A3" s="33"/>
      <c r="B3" s="20"/>
      <c r="C3" s="138"/>
      <c r="D3" s="139"/>
      <c r="E3" s="39"/>
      <c r="F3" s="137">
        <v>295</v>
      </c>
    </row>
    <row r="4" spans="1:6" x14ac:dyDescent="0.35">
      <c r="A4" s="26" t="s">
        <v>334</v>
      </c>
      <c r="B4" s="22">
        <v>1</v>
      </c>
      <c r="C4" s="23">
        <v>38</v>
      </c>
      <c r="D4" s="24">
        <f>IFERROR(VLOOKUP(A4,[1]!TablaEquipos[#Data],2,FALSE),0)</f>
        <v>450</v>
      </c>
      <c r="E4" s="27">
        <f t="shared" ref="E4:E9" si="0">B4*C4*D4</f>
        <v>17100</v>
      </c>
      <c r="F4" s="173"/>
    </row>
    <row r="5" spans="1:6" x14ac:dyDescent="0.35">
      <c r="A5" s="24" t="s">
        <v>234</v>
      </c>
      <c r="B5" s="22">
        <v>1</v>
      </c>
      <c r="C5" s="23">
        <v>295</v>
      </c>
      <c r="D5" s="24">
        <f>IFERROR(VLOOKUP(A5,[1]!TablaEquipos[#Data],2,FALSE),0)</f>
        <v>135000</v>
      </c>
      <c r="E5" s="27">
        <f t="shared" si="0"/>
        <v>39825000</v>
      </c>
      <c r="F5" s="173"/>
    </row>
    <row r="6" spans="1:6" x14ac:dyDescent="0.35">
      <c r="A6" s="24" t="s">
        <v>658</v>
      </c>
      <c r="B6" s="22">
        <v>1</v>
      </c>
      <c r="C6" s="23">
        <v>38</v>
      </c>
      <c r="D6" s="24">
        <f>IFERROR(VLOOKUP(A6,[1]!TablaEquipos[#Data],2,FALSE),0)</f>
        <v>9000</v>
      </c>
      <c r="E6" s="27">
        <f t="shared" si="0"/>
        <v>342000</v>
      </c>
      <c r="F6" s="173"/>
    </row>
    <row r="7" spans="1:6" x14ac:dyDescent="0.35">
      <c r="A7" s="24" t="s">
        <v>237</v>
      </c>
      <c r="B7" s="22">
        <v>2</v>
      </c>
      <c r="C7" s="23">
        <v>38</v>
      </c>
      <c r="D7" s="24">
        <f>IFERROR(VLOOKUP(A7,[1]!TablaEquipos[#Data],2,FALSE),0)</f>
        <v>1000</v>
      </c>
      <c r="E7" s="27">
        <f t="shared" si="0"/>
        <v>76000</v>
      </c>
      <c r="F7" s="173"/>
    </row>
    <row r="8" spans="1:6" x14ac:dyDescent="0.35">
      <c r="A8" s="24" t="s">
        <v>229</v>
      </c>
      <c r="B8" s="22">
        <v>2</v>
      </c>
      <c r="C8" s="23">
        <v>38</v>
      </c>
      <c r="D8" s="24">
        <f>IFERROR(VLOOKUP(A8,[1]!TablaEquipos[#Data],2,FALSE),0)</f>
        <v>1500</v>
      </c>
      <c r="E8" s="27">
        <f t="shared" si="0"/>
        <v>114000</v>
      </c>
      <c r="F8" s="173"/>
    </row>
    <row r="9" spans="1:6" x14ac:dyDescent="0.35">
      <c r="A9" s="24" t="s">
        <v>239</v>
      </c>
      <c r="B9" s="22">
        <v>12</v>
      </c>
      <c r="C9" s="23">
        <v>38</v>
      </c>
      <c r="D9" s="24">
        <f>IFERROR(VLOOKUP(A9,[1]!TablaEquipos[#Data],2,FALSE),0)</f>
        <v>1000</v>
      </c>
      <c r="E9" s="27">
        <f t="shared" si="0"/>
        <v>456000</v>
      </c>
      <c r="F9" s="173"/>
    </row>
    <row r="10" spans="1:6" ht="15.5" x14ac:dyDescent="0.35">
      <c r="A10" s="122"/>
      <c r="B10" s="22"/>
      <c r="C10" s="23"/>
      <c r="D10" s="24"/>
      <c r="E10" s="27"/>
      <c r="F10" s="173"/>
    </row>
    <row r="11" spans="1:6" ht="15.5" x14ac:dyDescent="0.35">
      <c r="A11" s="122"/>
      <c r="B11" s="22"/>
      <c r="C11" s="23"/>
      <c r="D11" s="24"/>
      <c r="E11" s="27"/>
      <c r="F11" s="173"/>
    </row>
    <row r="12" spans="1:6" ht="16" thickBot="1" x14ac:dyDescent="0.4">
      <c r="A12" s="122"/>
      <c r="B12" s="22"/>
      <c r="C12" s="23"/>
      <c r="D12" s="24"/>
      <c r="E12" s="27"/>
      <c r="F12" s="272"/>
    </row>
    <row r="13" spans="1:6" ht="15" thickBot="1" x14ac:dyDescent="0.4">
      <c r="A13" s="294"/>
      <c r="B13" s="295"/>
      <c r="C13" s="295"/>
      <c r="D13" s="295"/>
      <c r="E13" s="295"/>
      <c r="F13" s="84">
        <f>SUM(E4:E11)</f>
        <v>40830100</v>
      </c>
    </row>
    <row r="14" spans="1:6" x14ac:dyDescent="0.35">
      <c r="A14" s="33" t="s">
        <v>270</v>
      </c>
      <c r="B14" s="34" t="s">
        <v>83</v>
      </c>
      <c r="C14" s="45" t="s">
        <v>84</v>
      </c>
      <c r="D14" s="46" t="s">
        <v>269</v>
      </c>
      <c r="E14" s="37" t="s">
        <v>86</v>
      </c>
      <c r="F14" s="168"/>
    </row>
    <row r="15" spans="1:6" ht="23" x14ac:dyDescent="0.35">
      <c r="A15" s="79" t="s">
        <v>261</v>
      </c>
      <c r="B15" s="78">
        <v>2</v>
      </c>
      <c r="C15" s="23"/>
      <c r="D15" s="27">
        <f>IFERROR(VLOOKUP(A15,[1]!TablaMateriales[#Data],2,FALSE),0)</f>
        <v>55000</v>
      </c>
      <c r="E15" s="25">
        <f>B15*D15</f>
        <v>110000</v>
      </c>
      <c r="F15" s="155"/>
    </row>
    <row r="16" spans="1:6" x14ac:dyDescent="0.35">
      <c r="A16" s="31"/>
      <c r="B16" s="78"/>
      <c r="C16" s="23"/>
      <c r="D16" s="27">
        <f>IFERROR(VLOOKUP(A16,[1]!TablaMateriales[#Data],2,FALSE),0)</f>
        <v>0</v>
      </c>
      <c r="E16" s="27"/>
      <c r="F16" s="173"/>
    </row>
    <row r="17" spans="1:6" x14ac:dyDescent="0.35">
      <c r="A17" s="31"/>
      <c r="B17" s="78"/>
      <c r="C17" s="23"/>
      <c r="D17" s="27">
        <f>IFERROR(VLOOKUP(A17,[1]!TablaMateriales[#Data],2,FALSE),0)</f>
        <v>0</v>
      </c>
      <c r="E17" s="27"/>
      <c r="F17" s="173"/>
    </row>
    <row r="18" spans="1:6" x14ac:dyDescent="0.35">
      <c r="A18" s="31"/>
      <c r="B18" s="78"/>
      <c r="C18" s="23"/>
      <c r="D18" s="27">
        <f>IFERROR(VLOOKUP(A18,[1]!TablaMateriales[#Data],2,FALSE),0)</f>
        <v>0</v>
      </c>
      <c r="E18" s="27"/>
      <c r="F18" s="173"/>
    </row>
    <row r="19" spans="1:6" x14ac:dyDescent="0.35">
      <c r="A19" s="31"/>
      <c r="B19" s="78"/>
      <c r="C19" s="23"/>
      <c r="D19" s="27">
        <f>IFERROR(VLOOKUP(A19,[1]!TablaMateriales[#Data],2,FALSE),0)</f>
        <v>0</v>
      </c>
      <c r="E19" s="27"/>
      <c r="F19" s="173"/>
    </row>
    <row r="20" spans="1:6" ht="15" thickBot="1" x14ac:dyDescent="0.4">
      <c r="A20" s="31"/>
      <c r="B20" s="78"/>
      <c r="C20" s="23"/>
      <c r="D20" s="27">
        <f>IFERROR(VLOOKUP(A20,[1]!TablaMateriales[#Data],2,FALSE),0)</f>
        <v>0</v>
      </c>
      <c r="E20" s="27"/>
      <c r="F20" s="173"/>
    </row>
    <row r="21" spans="1:6" ht="15" thickBot="1" x14ac:dyDescent="0.4">
      <c r="A21" s="296"/>
      <c r="B21" s="297"/>
      <c r="C21" s="297"/>
      <c r="D21" s="297"/>
      <c r="E21" s="298"/>
      <c r="F21" s="28">
        <f>SUM(E15:E20)</f>
        <v>110000</v>
      </c>
    </row>
    <row r="22" spans="1:6" x14ac:dyDescent="0.35">
      <c r="A22" s="33" t="s">
        <v>88</v>
      </c>
      <c r="B22" s="34" t="s">
        <v>83</v>
      </c>
      <c r="C22" s="35" t="s">
        <v>84</v>
      </c>
      <c r="D22" s="36" t="s">
        <v>89</v>
      </c>
      <c r="E22" s="37" t="s">
        <v>86</v>
      </c>
      <c r="F22" s="280"/>
    </row>
    <row r="23" spans="1:6" x14ac:dyDescent="0.35">
      <c r="A23" s="38" t="s">
        <v>272</v>
      </c>
      <c r="B23" s="34">
        <v>1</v>
      </c>
      <c r="C23" s="35">
        <v>10.6</v>
      </c>
      <c r="D23" s="39">
        <f>'tabla salarial'!AS4</f>
        <v>555393.74067333317</v>
      </c>
      <c r="E23" s="37">
        <f>B23*C23*D23</f>
        <v>5887173.6511373315</v>
      </c>
      <c r="F23" s="281"/>
    </row>
    <row r="24" spans="1:6" x14ac:dyDescent="0.35">
      <c r="A24" s="107" t="s">
        <v>273</v>
      </c>
      <c r="B24" s="20">
        <v>1</v>
      </c>
      <c r="C24" s="40">
        <v>10.6</v>
      </c>
      <c r="D24" s="39">
        <f>'tabla salarial'!AS4</f>
        <v>555393.74067333317</v>
      </c>
      <c r="E24" s="21">
        <f t="shared" ref="E24:E30" si="1">B24*C24*D24</f>
        <v>5887173.6511373315</v>
      </c>
      <c r="F24" s="281"/>
    </row>
    <row r="25" spans="1:6" x14ac:dyDescent="0.35">
      <c r="A25" s="107" t="s">
        <v>289</v>
      </c>
      <c r="B25" s="20">
        <v>1</v>
      </c>
      <c r="C25" s="35">
        <v>10.6</v>
      </c>
      <c r="D25" s="39">
        <f>'tabla salarial'!AS4</f>
        <v>555393.74067333317</v>
      </c>
      <c r="E25" s="21">
        <f>B25*C25*D25</f>
        <v>5887173.6511373315</v>
      </c>
      <c r="F25" s="281"/>
    </row>
    <row r="26" spans="1:6" x14ac:dyDescent="0.35">
      <c r="A26" s="107" t="s">
        <v>290</v>
      </c>
      <c r="B26" s="20">
        <v>1</v>
      </c>
      <c r="C26" s="35">
        <v>44.7</v>
      </c>
      <c r="D26" s="39">
        <f>'tabla salarial'!AS5</f>
        <v>443956.94156000001</v>
      </c>
      <c r="E26" s="21">
        <f>C26*D26</f>
        <v>19844875.287732001</v>
      </c>
      <c r="F26" s="281"/>
    </row>
    <row r="27" spans="1:6" x14ac:dyDescent="0.35">
      <c r="A27" s="107" t="s">
        <v>276</v>
      </c>
      <c r="B27" s="20">
        <v>1</v>
      </c>
      <c r="C27" s="35">
        <v>44.7</v>
      </c>
      <c r="D27" s="39">
        <f>'tabla salarial'!AS6</f>
        <v>407197.80492666672</v>
      </c>
      <c r="E27" s="21">
        <f>B27*C27*D27</f>
        <v>18201741.880222004</v>
      </c>
      <c r="F27" s="281"/>
    </row>
    <row r="28" spans="1:6" x14ac:dyDescent="0.35">
      <c r="A28" s="107" t="s">
        <v>274</v>
      </c>
      <c r="B28" s="20">
        <v>1</v>
      </c>
      <c r="C28" s="35"/>
      <c r="D28" s="39">
        <f>'tabla salarial'!AS7</f>
        <v>371571.3297066667</v>
      </c>
      <c r="E28" s="21">
        <f t="shared" si="1"/>
        <v>0</v>
      </c>
      <c r="F28" s="281"/>
    </row>
    <row r="29" spans="1:6" x14ac:dyDescent="0.35">
      <c r="A29" s="109" t="s">
        <v>223</v>
      </c>
      <c r="B29" s="20">
        <v>1</v>
      </c>
      <c r="C29" s="35">
        <v>10.6</v>
      </c>
      <c r="D29" s="39">
        <f>'tabla salarial'!AS8</f>
        <v>355821.87609999999</v>
      </c>
      <c r="E29" s="21">
        <f t="shared" si="1"/>
        <v>3771711.8866599998</v>
      </c>
      <c r="F29" s="281"/>
    </row>
    <row r="30" spans="1:6" x14ac:dyDescent="0.35">
      <c r="A30" s="107" t="s">
        <v>275</v>
      </c>
      <c r="B30" s="20">
        <v>2</v>
      </c>
      <c r="C30" s="40"/>
      <c r="D30" s="39">
        <f>'tabla salarial'!AS9</f>
        <v>382109.06042666658</v>
      </c>
      <c r="E30" s="21">
        <f t="shared" si="1"/>
        <v>0</v>
      </c>
      <c r="F30" s="281"/>
    </row>
    <row r="31" spans="1:6" x14ac:dyDescent="0.35">
      <c r="A31" s="287"/>
      <c r="B31" s="287"/>
      <c r="C31" s="287"/>
      <c r="D31" s="287"/>
      <c r="E31" s="287"/>
      <c r="F31" s="42">
        <f>SUM(E23:E30)</f>
        <v>59479850.008026011</v>
      </c>
    </row>
    <row r="32" spans="1:6" x14ac:dyDescent="0.35">
      <c r="A32" s="33" t="s">
        <v>279</v>
      </c>
      <c r="B32" s="34" t="s">
        <v>83</v>
      </c>
      <c r="C32" s="35" t="s">
        <v>84</v>
      </c>
      <c r="D32" s="36" t="s">
        <v>269</v>
      </c>
      <c r="E32" s="37" t="s">
        <v>86</v>
      </c>
      <c r="F32" s="283"/>
    </row>
    <row r="33" spans="1:6" x14ac:dyDescent="0.35">
      <c r="A33" s="108" t="s">
        <v>240</v>
      </c>
      <c r="B33" s="108">
        <v>1</v>
      </c>
      <c r="C33" s="108">
        <v>10</v>
      </c>
      <c r="D33" s="108">
        <f>IFERROR(VLOOKUP(A33,[1]!TablaTransporte[#Data],2,FALSE),0)</f>
        <v>550000</v>
      </c>
      <c r="E33" s="110">
        <f>B33*C33*D33</f>
        <v>5500000</v>
      </c>
      <c r="F33" s="285"/>
    </row>
    <row r="34" spans="1:6" x14ac:dyDescent="0.35">
      <c r="A34" s="43"/>
      <c r="B34" s="43"/>
      <c r="C34" s="43"/>
      <c r="D34" s="43"/>
      <c r="E34" s="43"/>
      <c r="F34" s="42">
        <f>E33</f>
        <v>5500000</v>
      </c>
    </row>
    <row r="35" spans="1:6" x14ac:dyDescent="0.35">
      <c r="A35" s="288"/>
      <c r="B35" s="289"/>
      <c r="C35" s="289"/>
      <c r="D35" s="289"/>
      <c r="E35" s="290"/>
      <c r="F35" s="42">
        <f>F13+F21+F31+F34</f>
        <v>105919950.008026</v>
      </c>
    </row>
    <row r="36" spans="1:6" ht="15" thickBot="1" x14ac:dyDescent="0.4">
      <c r="A36" s="291"/>
      <c r="B36" s="292"/>
      <c r="C36" s="292"/>
      <c r="D36" s="292"/>
      <c r="E36" s="293"/>
      <c r="F36" s="44">
        <f>F35*A36</f>
        <v>0</v>
      </c>
    </row>
    <row r="37" spans="1:6" ht="15" thickBot="1" x14ac:dyDescent="0.4">
      <c r="A37" s="299"/>
      <c r="B37" s="300"/>
      <c r="C37" s="300"/>
      <c r="D37" s="300"/>
      <c r="E37" s="301"/>
      <c r="F37" s="28">
        <f>F35+F36</f>
        <v>105919950.008026</v>
      </c>
    </row>
    <row r="38" spans="1:6" ht="15" thickBot="1" x14ac:dyDescent="0.4">
      <c r="A38" s="302"/>
      <c r="B38" s="300"/>
      <c r="C38" s="300"/>
      <c r="D38" s="300"/>
      <c r="E38" s="301"/>
      <c r="F38" s="28">
        <f>F37*A38</f>
        <v>0</v>
      </c>
    </row>
    <row r="39" spans="1:6" ht="15" thickBot="1" x14ac:dyDescent="0.4">
      <c r="A39" s="286"/>
      <c r="B39" s="286"/>
      <c r="C39" s="286"/>
      <c r="D39" s="286"/>
      <c r="E39" s="286"/>
      <c r="F39" s="28">
        <f>F37+F38</f>
        <v>105919950.008026</v>
      </c>
    </row>
    <row r="40" spans="1:6" x14ac:dyDescent="0.35">
      <c r="F40" s="176">
        <f>F39/F3</f>
        <v>359050.67799330846</v>
      </c>
    </row>
  </sheetData>
  <mergeCells count="11">
    <mergeCell ref="A21:E21"/>
    <mergeCell ref="A1:F1"/>
    <mergeCell ref="A13:E13"/>
    <mergeCell ref="A37:E37"/>
    <mergeCell ref="A38:E38"/>
    <mergeCell ref="A39:E39"/>
    <mergeCell ref="F22:F30"/>
    <mergeCell ref="A31:E31"/>
    <mergeCell ref="F32:F33"/>
    <mergeCell ref="A35:E35"/>
    <mergeCell ref="A36:E36"/>
  </mergeCells>
  <dataValidations count="3">
    <dataValidation type="list" allowBlank="1" showInputMessage="1" promptTitle="Seleccione un equipo" prompt="Elija de la lista o escriba un elemento nuevo si no aparece." sqref="A93:A172" xr:uid="{2120D021-EBE1-441F-940A-ED51F82AF558}">
      <formula1>"TablaEquipos"</formula1>
    </dataValidation>
    <dataValidation type="list" allowBlank="1" showInputMessage="1" promptTitle="Seleccione un equipo" prompt="Elija de la lista o escriba un elemento nuevo si no aparece." sqref="A3:A13" xr:uid="{FB8421E0-AF3B-4D15-ABFF-E6012B57F998}">
      <formula1>ListaEquipos</formula1>
    </dataValidation>
    <dataValidation type="list" allowBlank="1" showInputMessage="1" promptTitle="Seleccione un material" prompt="Elija de la lista o escriba un elemento nuevo si no aparece." sqref="A15:A21" xr:uid="{737A04F6-CD2B-4C97-8040-F55ED15F966B}">
      <formula1>ListaMateriales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241174BE-5269-409B-B2D8-4C74400D819A}">
          <x14:formula1>
            <xm:f>'D:\RFC SAS 2026\COTIZACIONES 2026\[COT-105-2026  r.nuñez adecuacion punto de control odc caucasia.xlsx]herramientas mat transp y mano'!#REF!</xm:f>
          </x14:formula1>
          <xm:sqref>A33:A92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4A44-C0A8-4EA6-90C8-1ED5909AD51B}">
  <sheetPr>
    <tabColor rgb="FF00B050"/>
  </sheetPr>
  <dimension ref="A1:F52"/>
  <sheetViews>
    <sheetView topLeftCell="A34" workbookViewId="0">
      <selection activeCell="C46" sqref="C46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5" max="5" width="10.90625" bestFit="1" customWidth="1"/>
    <col min="6" max="6" width="12.6328125" bestFit="1" customWidth="1"/>
  </cols>
  <sheetData>
    <row r="1" spans="1:6" x14ac:dyDescent="0.35">
      <c r="A1" s="279" t="s">
        <v>23</v>
      </c>
      <c r="B1" s="279"/>
      <c r="C1" s="279"/>
      <c r="D1" s="279"/>
      <c r="E1" s="279"/>
      <c r="F1" s="279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169</v>
      </c>
    </row>
    <row r="3" spans="1:6" ht="15" thickBot="1" x14ac:dyDescent="0.4">
      <c r="A3" s="33"/>
      <c r="B3" s="34"/>
      <c r="C3" s="45"/>
      <c r="D3" s="46"/>
      <c r="E3" s="37"/>
      <c r="F3" s="143">
        <v>10</v>
      </c>
    </row>
    <row r="4" spans="1:6" x14ac:dyDescent="0.35">
      <c r="A4" s="24" t="s">
        <v>225</v>
      </c>
      <c r="B4" s="22">
        <v>2</v>
      </c>
      <c r="C4" s="23">
        <v>10</v>
      </c>
      <c r="D4" s="24">
        <v>2500</v>
      </c>
      <c r="E4" s="25">
        <f t="shared" ref="E4:E9" si="0">B4*C4*D4</f>
        <v>50000</v>
      </c>
      <c r="F4" s="273"/>
    </row>
    <row r="5" spans="1:6" x14ac:dyDescent="0.35">
      <c r="A5" s="26" t="s">
        <v>226</v>
      </c>
      <c r="B5" s="22">
        <v>1</v>
      </c>
      <c r="C5" s="23">
        <v>10</v>
      </c>
      <c r="D5" s="24">
        <f>IFERROR(VLOOKUP(A5,[1]!TablaEquipos[#Data],2,FALSE),0)</f>
        <v>700</v>
      </c>
      <c r="E5" s="25">
        <f t="shared" si="0"/>
        <v>7000</v>
      </c>
      <c r="F5" s="274"/>
    </row>
    <row r="6" spans="1:6" ht="15.5" x14ac:dyDescent="0.35">
      <c r="A6" s="105" t="s">
        <v>229</v>
      </c>
      <c r="B6" s="22">
        <v>1</v>
      </c>
      <c r="C6" s="23">
        <v>10</v>
      </c>
      <c r="D6" s="24">
        <v>4500</v>
      </c>
      <c r="E6" s="25">
        <f t="shared" si="0"/>
        <v>45000</v>
      </c>
      <c r="F6" s="274"/>
    </row>
    <row r="7" spans="1:6" ht="15.5" x14ac:dyDescent="0.35">
      <c r="A7" s="105" t="s">
        <v>322</v>
      </c>
      <c r="B7" s="22">
        <v>1</v>
      </c>
      <c r="C7" s="23">
        <v>10</v>
      </c>
      <c r="D7" s="24">
        <v>2500</v>
      </c>
      <c r="E7" s="25">
        <f t="shared" si="0"/>
        <v>25000</v>
      </c>
      <c r="F7" s="274"/>
    </row>
    <row r="8" spans="1:6" ht="15.5" x14ac:dyDescent="0.35">
      <c r="A8" s="105" t="s">
        <v>323</v>
      </c>
      <c r="B8" s="22">
        <v>1</v>
      </c>
      <c r="C8" s="23">
        <v>10</v>
      </c>
      <c r="D8" s="24">
        <v>2500</v>
      </c>
      <c r="E8" s="25">
        <f t="shared" si="0"/>
        <v>25000</v>
      </c>
      <c r="F8" s="274"/>
    </row>
    <row r="9" spans="1:6" ht="15.5" x14ac:dyDescent="0.35">
      <c r="A9" s="105" t="s">
        <v>335</v>
      </c>
      <c r="B9" s="22">
        <v>1</v>
      </c>
      <c r="C9" s="23">
        <v>10</v>
      </c>
      <c r="D9" s="24">
        <v>500000</v>
      </c>
      <c r="E9" s="25">
        <f t="shared" si="0"/>
        <v>5000000</v>
      </c>
      <c r="F9" s="274"/>
    </row>
    <row r="10" spans="1:6" ht="15.5" x14ac:dyDescent="0.35">
      <c r="A10" s="105"/>
      <c r="B10" s="22"/>
      <c r="C10" s="23"/>
      <c r="D10" s="24"/>
      <c r="E10" s="25"/>
      <c r="F10" s="274"/>
    </row>
    <row r="11" spans="1:6" ht="15.5" x14ac:dyDescent="0.35">
      <c r="A11" s="105"/>
      <c r="B11" s="22"/>
      <c r="C11" s="23"/>
      <c r="D11" s="24"/>
      <c r="E11" s="25"/>
      <c r="F11" s="274"/>
    </row>
    <row r="12" spans="1:6" ht="15.5" x14ac:dyDescent="0.35">
      <c r="A12" s="105"/>
      <c r="B12" s="22"/>
      <c r="C12" s="23"/>
      <c r="D12" s="24"/>
      <c r="E12" s="25"/>
      <c r="F12" s="274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/>
      <c r="F13" s="274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/>
      <c r="F14" s="274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/>
      <c r="F15" s="274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274"/>
    </row>
    <row r="17" spans="1:6" ht="15" thickBot="1" x14ac:dyDescent="0.4">
      <c r="A17" s="81"/>
      <c r="B17" s="82"/>
      <c r="C17" s="32"/>
      <c r="D17" s="81">
        <f>IFERROR(VLOOKUP(A17,[1]!TablaEquipos[#Data],2,FALSE),0)</f>
        <v>0</v>
      </c>
      <c r="E17" s="83"/>
      <c r="F17" s="275"/>
    </row>
    <row r="18" spans="1:6" x14ac:dyDescent="0.35">
      <c r="A18" s="303" t="e">
        <f>#REF!*#REF!</f>
        <v>#REF!</v>
      </c>
      <c r="B18" s="304"/>
      <c r="C18" s="304"/>
      <c r="D18" s="304"/>
      <c r="E18" s="305"/>
      <c r="F18" s="144">
        <f>SUM(E4:E17)</f>
        <v>5152000</v>
      </c>
    </row>
    <row r="19" spans="1:6" x14ac:dyDescent="0.35">
      <c r="A19" s="148" t="s">
        <v>270</v>
      </c>
      <c r="B19" s="20" t="s">
        <v>83</v>
      </c>
      <c r="C19" s="138" t="s">
        <v>84</v>
      </c>
      <c r="D19" s="139" t="s">
        <v>269</v>
      </c>
      <c r="E19" s="27">
        <f>B22*D22</f>
        <v>30000</v>
      </c>
      <c r="F19" s="149"/>
    </row>
    <row r="20" spans="1:6" x14ac:dyDescent="0.35">
      <c r="A20" s="30" t="s">
        <v>254</v>
      </c>
      <c r="B20" s="22">
        <v>50</v>
      </c>
      <c r="C20" s="29"/>
      <c r="D20" s="27">
        <f>IFERROR(VLOOKUP(A20,[1]!TablaMateriales[#Data],2,FALSE),0)</f>
        <v>20000</v>
      </c>
      <c r="E20" s="25">
        <f>B20*D20</f>
        <v>1000000</v>
      </c>
      <c r="F20" s="145"/>
    </row>
    <row r="21" spans="1:6" x14ac:dyDescent="0.35">
      <c r="A21" s="30" t="s">
        <v>257</v>
      </c>
      <c r="B21" s="78">
        <v>2</v>
      </c>
      <c r="C21" s="23">
        <v>10</v>
      </c>
      <c r="D21" s="27">
        <f>IFERROR(VLOOKUP(A21,[1]!TablaMateriales[#Data],2,FALSE),0)</f>
        <v>9500</v>
      </c>
      <c r="E21" s="25">
        <f>B21*D21</f>
        <v>19000</v>
      </c>
      <c r="F21" s="145"/>
    </row>
    <row r="22" spans="1:6" x14ac:dyDescent="0.35">
      <c r="A22" s="30" t="s">
        <v>259</v>
      </c>
      <c r="B22" s="78">
        <v>2</v>
      </c>
      <c r="C22" s="23">
        <v>10</v>
      </c>
      <c r="D22" s="27">
        <f>IFERROR(VLOOKUP(A22,[1]!TablaMateriales[#Data],2,FALSE),0)</f>
        <v>15000</v>
      </c>
      <c r="E22" s="25">
        <f>B22*D22</f>
        <v>30000</v>
      </c>
      <c r="F22" s="145"/>
    </row>
    <row r="23" spans="1:6" x14ac:dyDescent="0.35">
      <c r="A23" s="30" t="s">
        <v>260</v>
      </c>
      <c r="B23" s="78">
        <v>20</v>
      </c>
      <c r="C23" s="23">
        <v>10</v>
      </c>
      <c r="D23" s="27">
        <f>IFERROR(VLOOKUP(A23,[1]!TablaMateriales[#Data],2,FALSE),0)</f>
        <v>20000</v>
      </c>
      <c r="E23" s="25">
        <f>B23*D23</f>
        <v>400000</v>
      </c>
      <c r="F23" s="145"/>
    </row>
    <row r="24" spans="1:6" x14ac:dyDescent="0.35">
      <c r="A24" s="31"/>
      <c r="B24" s="78"/>
      <c r="C24" s="23"/>
      <c r="D24" s="27"/>
      <c r="E24" s="25"/>
      <c r="F24" s="145"/>
    </row>
    <row r="25" spans="1:6" x14ac:dyDescent="0.35">
      <c r="A25" s="31"/>
      <c r="B25" s="78"/>
      <c r="C25" s="23"/>
      <c r="D25" s="27"/>
      <c r="E25" s="25"/>
      <c r="F25" s="145"/>
    </row>
    <row r="26" spans="1:6" x14ac:dyDescent="0.35">
      <c r="A26" s="31"/>
      <c r="B26" s="78"/>
      <c r="C26" s="23"/>
      <c r="D26" s="27"/>
      <c r="E26" s="25"/>
      <c r="F26" s="145"/>
    </row>
    <row r="27" spans="1:6" x14ac:dyDescent="0.35">
      <c r="A27" s="31"/>
      <c r="B27" s="78"/>
      <c r="C27" s="23"/>
      <c r="D27" s="27"/>
      <c r="E27" s="25"/>
      <c r="F27" s="145"/>
    </row>
    <row r="28" spans="1:6" x14ac:dyDescent="0.35">
      <c r="A28" s="31"/>
      <c r="B28" s="78"/>
      <c r="C28" s="23"/>
      <c r="D28" s="27"/>
      <c r="E28" s="25"/>
      <c r="F28" s="145"/>
    </row>
    <row r="29" spans="1:6" ht="15.5" x14ac:dyDescent="0.35">
      <c r="A29" s="122"/>
      <c r="B29" s="78"/>
      <c r="C29" s="23"/>
      <c r="D29" s="27"/>
      <c r="E29" s="25"/>
      <c r="F29" s="145"/>
    </row>
    <row r="30" spans="1:6" ht="15.5" x14ac:dyDescent="0.35">
      <c r="A30" s="122"/>
      <c r="B30" s="78"/>
      <c r="C30" s="23"/>
      <c r="D30" s="27"/>
      <c r="E30" s="25"/>
      <c r="F30" s="145"/>
    </row>
    <row r="31" spans="1:6" ht="15.5" x14ac:dyDescent="0.35">
      <c r="A31" s="122"/>
      <c r="B31" s="78"/>
      <c r="C31" s="23"/>
      <c r="D31" s="27"/>
      <c r="E31" s="25"/>
      <c r="F31" s="145"/>
    </row>
    <row r="32" spans="1:6" ht="16" thickBot="1" x14ac:dyDescent="0.4">
      <c r="A32" s="122"/>
      <c r="B32" s="78"/>
      <c r="C32" s="23"/>
      <c r="D32" s="27"/>
      <c r="E32" s="25"/>
      <c r="F32" s="146"/>
    </row>
    <row r="33" spans="1:6" ht="15" thickBot="1" x14ac:dyDescent="0.4">
      <c r="A33" s="99"/>
      <c r="B33" s="100"/>
      <c r="C33" s="100"/>
      <c r="D33" s="100"/>
      <c r="E33" s="101"/>
      <c r="F33" s="28">
        <f>SUM(E19:E32)</f>
        <v>1479000</v>
      </c>
    </row>
    <row r="34" spans="1:6" x14ac:dyDescent="0.35">
      <c r="A34" s="33" t="s">
        <v>88</v>
      </c>
      <c r="B34" s="34" t="s">
        <v>83</v>
      </c>
      <c r="C34" s="35" t="s">
        <v>84</v>
      </c>
      <c r="D34" s="36" t="s">
        <v>89</v>
      </c>
      <c r="E34" s="37" t="s">
        <v>86</v>
      </c>
      <c r="F34" s="168"/>
    </row>
    <row r="35" spans="1:6" x14ac:dyDescent="0.35">
      <c r="A35" s="38" t="s">
        <v>272</v>
      </c>
      <c r="B35" s="34">
        <v>1</v>
      </c>
      <c r="C35" s="35"/>
      <c r="D35" s="39">
        <f>'tabla salarial'!AS4</f>
        <v>555393.74067333317</v>
      </c>
      <c r="E35" s="37">
        <f>B35*C35*D35</f>
        <v>0</v>
      </c>
      <c r="F35" s="155"/>
    </row>
    <row r="36" spans="1:6" x14ac:dyDescent="0.35">
      <c r="A36" s="107" t="s">
        <v>273</v>
      </c>
      <c r="B36" s="20">
        <v>1</v>
      </c>
      <c r="C36" s="40"/>
      <c r="D36" s="39">
        <f>'tabla salarial'!AS4</f>
        <v>555393.74067333317</v>
      </c>
      <c r="E36" s="21">
        <f t="shared" ref="E36:E42" si="1">B36*C36*D36</f>
        <v>0</v>
      </c>
      <c r="F36" s="155"/>
    </row>
    <row r="37" spans="1:6" x14ac:dyDescent="0.35">
      <c r="A37" s="107" t="s">
        <v>277</v>
      </c>
      <c r="B37" s="20">
        <v>1</v>
      </c>
      <c r="C37" s="35">
        <v>13</v>
      </c>
      <c r="D37" s="39">
        <f>'tabla salarial'!AS4</f>
        <v>555393.74067333317</v>
      </c>
      <c r="E37" s="21">
        <f>B37*C37*D37</f>
        <v>7220118.6287533315</v>
      </c>
      <c r="F37" s="155"/>
    </row>
    <row r="38" spans="1:6" x14ac:dyDescent="0.35">
      <c r="A38" s="107" t="s">
        <v>278</v>
      </c>
      <c r="B38" s="20">
        <v>1.5</v>
      </c>
      <c r="C38" s="35">
        <v>13</v>
      </c>
      <c r="D38" s="39">
        <f>'tabla salarial'!AS6</f>
        <v>407197.80492666672</v>
      </c>
      <c r="E38" s="21">
        <f>B38*C38*D38</f>
        <v>7940357.1960700015</v>
      </c>
      <c r="F38" s="155"/>
    </row>
    <row r="39" spans="1:6" x14ac:dyDescent="0.35">
      <c r="A39" s="107" t="s">
        <v>276</v>
      </c>
      <c r="B39" s="20">
        <v>2</v>
      </c>
      <c r="C39" s="35"/>
      <c r="D39" s="39">
        <f>'tabla salarial'!AS6</f>
        <v>407197.80492666672</v>
      </c>
      <c r="E39" s="21">
        <f>B39*C39*D39</f>
        <v>0</v>
      </c>
      <c r="F39" s="155"/>
    </row>
    <row r="40" spans="1:6" x14ac:dyDescent="0.35">
      <c r="A40" s="107" t="s">
        <v>274</v>
      </c>
      <c r="B40" s="20">
        <v>1</v>
      </c>
      <c r="C40" s="35"/>
      <c r="D40" s="39">
        <f>'tabla salarial'!AS7</f>
        <v>371571.3297066667</v>
      </c>
      <c r="E40" s="21">
        <f t="shared" si="1"/>
        <v>0</v>
      </c>
      <c r="F40" s="155"/>
    </row>
    <row r="41" spans="1:6" x14ac:dyDescent="0.35">
      <c r="A41" s="107" t="s">
        <v>223</v>
      </c>
      <c r="B41" s="20">
        <v>1</v>
      </c>
      <c r="C41" s="35"/>
      <c r="D41" s="39">
        <f>'tabla salarial'!AS8</f>
        <v>355821.87609999999</v>
      </c>
      <c r="E41" s="21">
        <f t="shared" si="1"/>
        <v>0</v>
      </c>
      <c r="F41" s="155"/>
    </row>
    <row r="42" spans="1:6" x14ac:dyDescent="0.35">
      <c r="A42" s="107" t="s">
        <v>275</v>
      </c>
      <c r="B42" s="20">
        <v>1</v>
      </c>
      <c r="C42" s="40">
        <v>13</v>
      </c>
      <c r="D42" s="39">
        <f>'tabla salarial'!AS9</f>
        <v>382109.06042666658</v>
      </c>
      <c r="E42" s="21">
        <f t="shared" si="1"/>
        <v>4967417.7855466651</v>
      </c>
      <c r="F42" s="155"/>
    </row>
    <row r="43" spans="1:6" x14ac:dyDescent="0.35">
      <c r="A43" s="108">
        <v>3</v>
      </c>
      <c r="B43" s="108"/>
      <c r="C43" s="108"/>
      <c r="D43" s="108"/>
      <c r="E43" s="108"/>
      <c r="F43" s="42">
        <f>SUM(E35:E42)</f>
        <v>20127893.610369999</v>
      </c>
    </row>
    <row r="44" spans="1:6" x14ac:dyDescent="0.35">
      <c r="A44" s="33" t="s">
        <v>279</v>
      </c>
      <c r="B44" s="34" t="s">
        <v>83</v>
      </c>
      <c r="C44" s="35" t="s">
        <v>84</v>
      </c>
      <c r="D44" s="36" t="s">
        <v>269</v>
      </c>
      <c r="E44" s="37" t="s">
        <v>86</v>
      </c>
      <c r="F44" s="283"/>
    </row>
    <row r="45" spans="1:6" x14ac:dyDescent="0.35">
      <c r="A45" s="92" t="s">
        <v>376</v>
      </c>
      <c r="B45" s="108">
        <v>1</v>
      </c>
      <c r="C45" s="108">
        <v>3</v>
      </c>
      <c r="D45" s="108">
        <v>550000</v>
      </c>
      <c r="E45" s="110">
        <f>B45*C45*D45</f>
        <v>1650000</v>
      </c>
      <c r="F45" s="285"/>
    </row>
    <row r="46" spans="1:6" x14ac:dyDescent="0.35">
      <c r="A46" s="92"/>
      <c r="B46" s="43"/>
      <c r="C46" s="43"/>
      <c r="D46" s="43"/>
      <c r="E46" s="43"/>
      <c r="F46" s="42">
        <f>E45</f>
        <v>1650000</v>
      </c>
    </row>
    <row r="47" spans="1:6" x14ac:dyDescent="0.35">
      <c r="A47" s="92"/>
      <c r="B47" s="93"/>
      <c r="C47" s="93"/>
      <c r="D47" s="93"/>
      <c r="E47" s="94"/>
      <c r="F47" s="42">
        <f>F18+F33+F43+F46</f>
        <v>28408893.610369999</v>
      </c>
    </row>
    <row r="48" spans="1:6" ht="15" thickBot="1" x14ac:dyDescent="0.4">
      <c r="A48" s="95"/>
      <c r="B48" s="96"/>
      <c r="C48" s="96"/>
      <c r="D48" s="96"/>
      <c r="E48" s="97"/>
      <c r="F48" s="44">
        <f>F47*A48</f>
        <v>0</v>
      </c>
    </row>
    <row r="49" spans="1:6" ht="15" thickBot="1" x14ac:dyDescent="0.4">
      <c r="A49" s="87"/>
      <c r="B49" s="88"/>
      <c r="C49" s="88"/>
      <c r="D49" s="88"/>
      <c r="E49" s="89"/>
      <c r="F49" s="28">
        <f>F47+F48</f>
        <v>28408893.610369999</v>
      </c>
    </row>
    <row r="50" spans="1:6" ht="15" thickBot="1" x14ac:dyDescent="0.4">
      <c r="A50" s="90"/>
      <c r="B50" s="88"/>
      <c r="C50" s="88"/>
      <c r="D50" s="88"/>
      <c r="E50" s="89"/>
      <c r="F50" s="28">
        <f>F49*A50</f>
        <v>0</v>
      </c>
    </row>
    <row r="51" spans="1:6" ht="15" thickBot="1" x14ac:dyDescent="0.4">
      <c r="A51" s="91"/>
      <c r="B51" s="91"/>
      <c r="C51" s="91"/>
      <c r="D51" s="91"/>
      <c r="E51" s="91"/>
      <c r="F51" s="28">
        <f>F49+F50</f>
        <v>28408893.610369999</v>
      </c>
    </row>
    <row r="52" spans="1:6" x14ac:dyDescent="0.35">
      <c r="F52" s="176">
        <f>F51/F3</f>
        <v>2840889.3610370001</v>
      </c>
    </row>
  </sheetData>
  <mergeCells count="3">
    <mergeCell ref="F44:F45"/>
    <mergeCell ref="A18:E18"/>
    <mergeCell ref="A1:F1"/>
  </mergeCells>
  <dataValidations count="3">
    <dataValidation type="list" allowBlank="1" showInputMessage="1" promptTitle="Seleccione un equipo" prompt="Elija de la lista o escriba un elemento nuevo si no aparece." sqref="A97:A176" xr:uid="{8CA2EA06-9963-45E3-B38D-81D2A65636A8}">
      <formula1>"TablaEquipos"</formula1>
    </dataValidation>
    <dataValidation type="list" allowBlank="1" showInputMessage="1" promptTitle="Seleccione un equipo" prompt="Elija de la lista o escriba un elemento nuevo si no aparece." sqref="A3:A18" xr:uid="{179A4E2D-F1B0-4781-9BF2-F1363DC2A0FE}">
      <formula1>ListaEquipos</formula1>
    </dataValidation>
    <dataValidation type="list" allowBlank="1" showInputMessage="1" promptTitle="Seleccione un material" prompt="Elija de la lista o escriba un elemento nuevo si no aparece." sqref="A20:A33" xr:uid="{20BD00E3-CC2A-411A-B851-09DF34E8984A}">
      <formula1>ListaMateriales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29BF528C-5DE0-4477-8A7C-4391BEE59E10}">
          <x14:formula1>
            <xm:f>'D:\RFC SAS 2026\COTIZACIONES 2026\[COT-105-2026  r.nuñez adecuacion punto de control odc caucasia.xlsx]herramientas mat transp y mano'!#REF!</xm:f>
          </x14:formula1>
          <xm:sqref>A45:A96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1C9C-ECE6-43A2-9554-BD2AB04996D6}">
  <sheetPr>
    <tabColor rgb="FF00B050"/>
  </sheetPr>
  <dimension ref="A1:F78"/>
  <sheetViews>
    <sheetView topLeftCell="A19" workbookViewId="0">
      <selection activeCell="A33" sqref="A33:E33"/>
    </sheetView>
  </sheetViews>
  <sheetFormatPr baseColWidth="10" defaultRowHeight="14.5" x14ac:dyDescent="0.35"/>
  <cols>
    <col min="1" max="1" width="27.36328125" customWidth="1"/>
    <col min="2" max="2" width="5.36328125" bestFit="1" customWidth="1"/>
    <col min="3" max="3" width="9.6328125" bestFit="1" customWidth="1"/>
    <col min="4" max="4" width="10.08984375" bestFit="1" customWidth="1"/>
    <col min="5" max="5" width="10.90625" bestFit="1" customWidth="1"/>
    <col min="6" max="6" width="13.7265625" customWidth="1"/>
  </cols>
  <sheetData>
    <row r="1" spans="1:6" x14ac:dyDescent="0.35">
      <c r="A1" s="306" t="s">
        <v>171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170</v>
      </c>
    </row>
    <row r="3" spans="1:6" x14ac:dyDescent="0.35">
      <c r="A3" s="33"/>
      <c r="B3" s="34"/>
      <c r="C3" s="45"/>
      <c r="D3" s="46"/>
      <c r="E3" s="37"/>
      <c r="F3" s="77">
        <v>57</v>
      </c>
    </row>
    <row r="4" spans="1:6" x14ac:dyDescent="0.35">
      <c r="A4" s="26" t="s">
        <v>227</v>
      </c>
      <c r="B4" s="22">
        <v>2</v>
      </c>
      <c r="C4" s="23">
        <v>3</v>
      </c>
      <c r="D4" s="24">
        <f>IFERROR(VLOOKUP(A4,[1]!TablaEquipos[#Data],2,FALSE),0)</f>
        <v>700</v>
      </c>
      <c r="E4" s="25">
        <f>B4*C4*D4</f>
        <v>4200</v>
      </c>
      <c r="F4" s="179"/>
    </row>
    <row r="5" spans="1:6" ht="15.5" x14ac:dyDescent="0.35">
      <c r="A5" s="122"/>
      <c r="B5" s="22"/>
      <c r="C5" s="23"/>
      <c r="D5" s="24"/>
      <c r="E5" s="27"/>
      <c r="F5" s="179"/>
    </row>
    <row r="6" spans="1:6" ht="15.5" x14ac:dyDescent="0.35">
      <c r="A6" s="122"/>
      <c r="B6" s="22"/>
      <c r="C6" s="23"/>
      <c r="D6" s="24"/>
      <c r="E6" s="27"/>
      <c r="F6" s="179"/>
    </row>
    <row r="7" spans="1:6" ht="15.5" x14ac:dyDescent="0.35">
      <c r="A7" s="122"/>
      <c r="B7" s="22"/>
      <c r="C7" s="23"/>
      <c r="D7" s="24"/>
      <c r="E7" s="27"/>
      <c r="F7" s="179"/>
    </row>
    <row r="8" spans="1:6" ht="15.5" x14ac:dyDescent="0.35">
      <c r="A8" s="122"/>
      <c r="B8" s="22"/>
      <c r="C8" s="23"/>
      <c r="D8" s="24"/>
      <c r="E8" s="27"/>
      <c r="F8" s="179"/>
    </row>
    <row r="9" spans="1:6" ht="15.5" x14ac:dyDescent="0.35">
      <c r="A9" s="122"/>
      <c r="B9" s="22"/>
      <c r="C9" s="23"/>
      <c r="D9" s="24"/>
      <c r="E9" s="27"/>
      <c r="F9" s="276"/>
    </row>
    <row r="10" spans="1:6" x14ac:dyDescent="0.35">
      <c r="A10" s="308"/>
      <c r="B10" s="308"/>
      <c r="C10" s="308"/>
      <c r="D10" s="308"/>
      <c r="E10" s="308"/>
      <c r="F10" s="67">
        <f>SUM(E4:E9)</f>
        <v>4200</v>
      </c>
    </row>
    <row r="11" spans="1:6" x14ac:dyDescent="0.35">
      <c r="A11" s="33" t="s">
        <v>270</v>
      </c>
      <c r="B11" s="34" t="s">
        <v>83</v>
      </c>
      <c r="C11" s="45" t="s">
        <v>84</v>
      </c>
      <c r="D11" s="46" t="s">
        <v>269</v>
      </c>
      <c r="E11" s="37" t="s">
        <v>86</v>
      </c>
      <c r="F11" s="62"/>
    </row>
    <row r="12" spans="1:6" x14ac:dyDescent="0.35">
      <c r="A12" s="152" t="s">
        <v>359</v>
      </c>
      <c r="B12" s="78">
        <v>50</v>
      </c>
      <c r="C12" s="23"/>
      <c r="D12" s="27">
        <f>IFERROR(VLOOKUP(A12,[1]!TablaMateriales[#Data],2,FALSE),0)</f>
        <v>9500</v>
      </c>
      <c r="E12" s="25">
        <f>B12*D12</f>
        <v>475000</v>
      </c>
      <c r="F12" s="62"/>
    </row>
    <row r="13" spans="1:6" x14ac:dyDescent="0.35">
      <c r="B13" s="78"/>
      <c r="C13" s="23"/>
      <c r="D13" s="27">
        <f>IFERROR(VLOOKUP(A13,[1]!TablaMateriales[#Data],2,FALSE),0)</f>
        <v>0</v>
      </c>
      <c r="E13" s="25"/>
      <c r="F13" s="62"/>
    </row>
    <row r="14" spans="1:6" ht="15.5" x14ac:dyDescent="0.35">
      <c r="A14" s="122"/>
      <c r="B14" s="78"/>
      <c r="C14" s="23"/>
      <c r="D14" s="27"/>
      <c r="E14" s="25"/>
      <c r="F14" s="62"/>
    </row>
    <row r="15" spans="1:6" ht="15.5" x14ac:dyDescent="0.35">
      <c r="A15" s="122"/>
      <c r="B15" s="78"/>
      <c r="C15" s="23"/>
      <c r="D15" s="27"/>
      <c r="E15" s="25"/>
      <c r="F15" s="62"/>
    </row>
    <row r="16" spans="1:6" ht="15" thickBot="1" x14ac:dyDescent="0.4">
      <c r="A16" s="296"/>
      <c r="B16" s="297"/>
      <c r="C16" s="297"/>
      <c r="D16" s="297"/>
      <c r="E16" s="298"/>
      <c r="F16" s="84">
        <f>SUM(E12:E13)</f>
        <v>475000</v>
      </c>
    </row>
    <row r="17" spans="1:6" x14ac:dyDescent="0.35">
      <c r="A17" s="33" t="s">
        <v>88</v>
      </c>
      <c r="B17" s="34" t="s">
        <v>83</v>
      </c>
      <c r="C17" s="35" t="s">
        <v>84</v>
      </c>
      <c r="D17" s="36" t="s">
        <v>89</v>
      </c>
      <c r="E17" s="37" t="s">
        <v>86</v>
      </c>
      <c r="F17" s="168"/>
    </row>
    <row r="18" spans="1:6" x14ac:dyDescent="0.35">
      <c r="A18" s="38" t="s">
        <v>272</v>
      </c>
      <c r="B18" s="34">
        <v>1</v>
      </c>
      <c r="C18" s="35">
        <v>0.38</v>
      </c>
      <c r="D18" s="39">
        <f>'tabla salarial'!AS4</f>
        <v>555393.74067333317</v>
      </c>
      <c r="E18" s="37">
        <f>B18*C18*D18</f>
        <v>211049.62145586661</v>
      </c>
      <c r="F18" s="155"/>
    </row>
    <row r="19" spans="1:6" x14ac:dyDescent="0.35">
      <c r="A19" s="107" t="s">
        <v>273</v>
      </c>
      <c r="B19" s="20">
        <v>1</v>
      </c>
      <c r="C19" s="35">
        <v>0.38</v>
      </c>
      <c r="D19" s="39">
        <f>'tabla salarial'!AS4</f>
        <v>555393.74067333317</v>
      </c>
      <c r="E19" s="21">
        <f>B19*C19*D19</f>
        <v>211049.62145586661</v>
      </c>
      <c r="F19" s="155"/>
    </row>
    <row r="20" spans="1:6" x14ac:dyDescent="0.35">
      <c r="A20" s="107" t="s">
        <v>274</v>
      </c>
      <c r="B20" s="20">
        <v>1</v>
      </c>
      <c r="C20" s="35">
        <v>0.38</v>
      </c>
      <c r="D20" s="39">
        <f>'tabla salarial'!AS7</f>
        <v>371571.3297066667</v>
      </c>
      <c r="E20" s="21">
        <f>B20*C20*D20</f>
        <v>141197.10528853335</v>
      </c>
      <c r="F20" s="155"/>
    </row>
    <row r="21" spans="1:6" x14ac:dyDescent="0.35">
      <c r="A21" s="107" t="s">
        <v>223</v>
      </c>
      <c r="B21" s="20">
        <v>1</v>
      </c>
      <c r="C21" s="35">
        <v>0.38</v>
      </c>
      <c r="D21" s="39">
        <f>'tabla salarial'!AS8</f>
        <v>355821.87609999999</v>
      </c>
      <c r="E21" s="21">
        <f>B21*C21*D21</f>
        <v>135212.31291800001</v>
      </c>
      <c r="F21" s="155"/>
    </row>
    <row r="22" spans="1:6" x14ac:dyDescent="0.35">
      <c r="A22" s="107" t="s">
        <v>275</v>
      </c>
      <c r="B22" s="20">
        <v>1</v>
      </c>
      <c r="C22" s="40">
        <v>4.7</v>
      </c>
      <c r="D22" s="39">
        <f>'tabla salarial'!AS9</f>
        <v>382109.06042666658</v>
      </c>
      <c r="E22" s="21">
        <f>B22*C22*D22</f>
        <v>1795912.584005333</v>
      </c>
      <c r="F22" s="155"/>
    </row>
    <row r="23" spans="1:6" x14ac:dyDescent="0.35">
      <c r="A23" s="287">
        <v>3</v>
      </c>
      <c r="B23" s="287"/>
      <c r="C23" s="287"/>
      <c r="D23" s="287"/>
      <c r="E23" s="287"/>
      <c r="F23" s="42">
        <f>SUM(E18:E22)</f>
        <v>2494421.2451235997</v>
      </c>
    </row>
    <row r="24" spans="1:6" x14ac:dyDescent="0.35">
      <c r="A24" s="33" t="s">
        <v>279</v>
      </c>
      <c r="B24" s="34" t="s">
        <v>83</v>
      </c>
      <c r="C24" s="35" t="s">
        <v>84</v>
      </c>
      <c r="D24" s="36" t="s">
        <v>269</v>
      </c>
      <c r="E24" s="37" t="s">
        <v>86</v>
      </c>
      <c r="F24" s="283"/>
    </row>
    <row r="25" spans="1:6" x14ac:dyDescent="0.35">
      <c r="A25" s="108"/>
      <c r="B25" s="108"/>
      <c r="C25" s="108"/>
      <c r="D25" s="108"/>
      <c r="E25" s="108"/>
      <c r="F25" s="284"/>
    </row>
    <row r="26" spans="1:6" x14ac:dyDescent="0.35">
      <c r="A26" s="108" t="s">
        <v>241</v>
      </c>
      <c r="B26" s="108">
        <v>1</v>
      </c>
      <c r="C26" s="108">
        <v>57</v>
      </c>
      <c r="D26" s="108">
        <f>IFERROR(VLOOKUP(A26,[1]!TablaTransporte[#Data],2,FALSE),0)</f>
        <v>65000</v>
      </c>
      <c r="E26" s="108">
        <f>B26*C26*D26</f>
        <v>3705000</v>
      </c>
      <c r="F26" s="284"/>
    </row>
    <row r="27" spans="1:6" ht="15.5" x14ac:dyDescent="0.35">
      <c r="A27" s="150" t="s">
        <v>299</v>
      </c>
      <c r="B27" s="41">
        <v>1</v>
      </c>
      <c r="C27" s="41">
        <v>1</v>
      </c>
      <c r="D27" s="41">
        <f>IFERROR(VLOOKUP(A27,[1]!TablaTransporte[#Data],2,FALSE),0)</f>
        <v>1330000</v>
      </c>
      <c r="E27" s="41">
        <f>B27*C27*D27</f>
        <v>1330000</v>
      </c>
      <c r="F27" s="284"/>
    </row>
    <row r="28" spans="1:6" x14ac:dyDescent="0.35">
      <c r="A28" s="41"/>
      <c r="B28" s="41"/>
      <c r="C28" s="41"/>
      <c r="D28" s="41">
        <f>IFERROR(VLOOKUP(A28,[1]!TablaTransporte[#Data],2,FALSE),0)</f>
        <v>0</v>
      </c>
      <c r="E28" s="41"/>
      <c r="F28" s="285"/>
    </row>
    <row r="29" spans="1:6" x14ac:dyDescent="0.35">
      <c r="A29" s="43"/>
      <c r="B29" s="43"/>
      <c r="C29" s="43"/>
      <c r="D29" s="43"/>
      <c r="E29" s="43"/>
      <c r="F29" s="42">
        <f>SUM(E25:E28)</f>
        <v>5035000</v>
      </c>
    </row>
    <row r="30" spans="1:6" x14ac:dyDescent="0.35">
      <c r="A30" s="288"/>
      <c r="B30" s="289"/>
      <c r="C30" s="289"/>
      <c r="D30" s="289"/>
      <c r="E30" s="290"/>
      <c r="F30" s="42">
        <f>F10+F16+F23+F29</f>
        <v>8008621.2451235997</v>
      </c>
    </row>
    <row r="31" spans="1:6" ht="15" thickBot="1" x14ac:dyDescent="0.4">
      <c r="A31" s="291"/>
      <c r="B31" s="292"/>
      <c r="C31" s="292"/>
      <c r="D31" s="292"/>
      <c r="E31" s="293"/>
      <c r="F31" s="44">
        <f>F30*A31</f>
        <v>0</v>
      </c>
    </row>
    <row r="32" spans="1:6" ht="15" thickBot="1" x14ac:dyDescent="0.4">
      <c r="A32" s="299"/>
      <c r="B32" s="300"/>
      <c r="C32" s="300"/>
      <c r="D32" s="300"/>
      <c r="E32" s="301"/>
      <c r="F32" s="28">
        <f>F30+F31</f>
        <v>8008621.2451235997</v>
      </c>
    </row>
    <row r="33" spans="1:6" ht="15" thickBot="1" x14ac:dyDescent="0.4">
      <c r="A33" s="302"/>
      <c r="B33" s="300"/>
      <c r="C33" s="300"/>
      <c r="D33" s="300"/>
      <c r="E33" s="301"/>
      <c r="F33" s="28">
        <f>F32*A33</f>
        <v>0</v>
      </c>
    </row>
    <row r="34" spans="1:6" ht="15" thickBot="1" x14ac:dyDescent="0.4">
      <c r="A34" s="286"/>
      <c r="B34" s="286"/>
      <c r="C34" s="286"/>
      <c r="D34" s="286"/>
      <c r="E34" s="286"/>
      <c r="F34" s="28">
        <f>F32+F33</f>
        <v>8008621.2451235997</v>
      </c>
    </row>
    <row r="35" spans="1:6" x14ac:dyDescent="0.35">
      <c r="F35" s="176">
        <f>F34/F3</f>
        <v>140502.12710743156</v>
      </c>
    </row>
    <row r="78" ht="16" customHeight="1" x14ac:dyDescent="0.35"/>
  </sheetData>
  <mergeCells count="10">
    <mergeCell ref="A16:E16"/>
    <mergeCell ref="A1:F1"/>
    <mergeCell ref="A10:E10"/>
    <mergeCell ref="A32:E32"/>
    <mergeCell ref="A33:E33"/>
    <mergeCell ref="A34:E34"/>
    <mergeCell ref="F24:F28"/>
    <mergeCell ref="A23:E23"/>
    <mergeCell ref="A30:E30"/>
    <mergeCell ref="A31:E31"/>
  </mergeCells>
  <dataValidations count="4">
    <dataValidation type="list" allowBlank="1" showInputMessage="1" promptTitle="Seleccione un equipo" prompt="Elija de la lista o escriba un elemento nuevo si no aparece." sqref="A70:A149" xr:uid="{6EB355DC-074D-4BBD-8544-604CFCE81370}">
      <formula1>"TablaEquipos"</formula1>
    </dataValidation>
    <dataValidation type="list" allowBlank="1" showInputMessage="1" promptTitle="Seleccione un equipo" prompt="Elija de la lista o escriba un elemento nuevo si no aparece." sqref="A3:A10" xr:uid="{FBF9D377-CC0B-4744-860E-543BB1F19087}">
      <formula1>ListaEquipos</formula1>
    </dataValidation>
    <dataValidation type="list" allowBlank="1" showInputMessage="1" promptTitle="Seleccione un equipo" prompt="Elija de la lista o escriba un elemento nuevo si no aparece." sqref="A26:A28" xr:uid="{0A5E765F-04B0-443A-AF18-2B10CB0E088D}">
      <formula1>ListaTransporte</formula1>
    </dataValidation>
    <dataValidation type="list" allowBlank="1" showInputMessage="1" promptTitle="Seleccione un material" prompt="Elija de la lista o escriba un elemento nuevo si no aparece." sqref="A12:A16" xr:uid="{C0CC4103-724F-48EB-9F71-B691A9790190}">
      <formula1>ListaMateriales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AF469C04-CB9C-45C8-8ABA-462E76923DA1}">
          <x14:formula1>
            <xm:f>'D:\RFC SAS 2026\COTIZACIONES 2026\[COT-105-2026  r.nuñez adecuacion punto de control odc caucasia.xlsx]herramientas mat transp y mano'!#REF!</xm:f>
          </x14:formula1>
          <xm:sqref>A25 A29:A69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ACB5-06E6-412F-9824-91EE913E5295}">
  <sheetPr>
    <tabColor rgb="FF00B050"/>
  </sheetPr>
  <dimension ref="A1:F41"/>
  <sheetViews>
    <sheetView topLeftCell="A28" workbookViewId="0">
      <selection activeCell="D12" sqref="D12"/>
    </sheetView>
  </sheetViews>
  <sheetFormatPr baseColWidth="10" defaultRowHeight="14.5" x14ac:dyDescent="0.35"/>
  <cols>
    <col min="1" max="1" width="24.7265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3.6328125" bestFit="1" customWidth="1"/>
  </cols>
  <sheetData>
    <row r="1" spans="1:6" x14ac:dyDescent="0.35">
      <c r="A1" s="306" t="s">
        <v>172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161</v>
      </c>
    </row>
    <row r="3" spans="1:6" x14ac:dyDescent="0.35">
      <c r="A3" s="33"/>
      <c r="B3" s="34"/>
      <c r="C3" s="45"/>
      <c r="D3" s="46"/>
      <c r="E3" s="37"/>
      <c r="F3" s="77">
        <v>62</v>
      </c>
    </row>
    <row r="4" spans="1:6" x14ac:dyDescent="0.35">
      <c r="A4" s="26" t="s">
        <v>227</v>
      </c>
      <c r="B4" s="22">
        <v>2</v>
      </c>
      <c r="C4" s="23">
        <v>62</v>
      </c>
      <c r="D4" s="24">
        <f>IFERROR(VLOOKUP(A4,[1]!TablaEquipos[#Data],2,FALSE),0)</f>
        <v>700</v>
      </c>
      <c r="E4" s="25">
        <f t="shared" ref="E4:E10" si="0">B4*C4*D4</f>
        <v>86800</v>
      </c>
      <c r="F4" s="62"/>
    </row>
    <row r="5" spans="1:6" x14ac:dyDescent="0.35">
      <c r="A5" s="24" t="s">
        <v>228</v>
      </c>
      <c r="B5" s="22">
        <v>4</v>
      </c>
      <c r="C5" s="23">
        <v>62</v>
      </c>
      <c r="D5" s="24">
        <f>IFERROR(VLOOKUP(A5,[1]!TablaEquipos[#Data],2,FALSE),0)</f>
        <v>1500</v>
      </c>
      <c r="E5" s="25">
        <f t="shared" si="0"/>
        <v>372000</v>
      </c>
      <c r="F5" s="62"/>
    </row>
    <row r="6" spans="1:6" x14ac:dyDescent="0.35">
      <c r="A6" s="24" t="s">
        <v>229</v>
      </c>
      <c r="B6" s="22">
        <v>2</v>
      </c>
      <c r="C6" s="23">
        <v>62</v>
      </c>
      <c r="D6" s="24">
        <f>IFERROR(VLOOKUP(A6,[1]!TablaEquipos[#Data],2,FALSE),0)</f>
        <v>1500</v>
      </c>
      <c r="E6" s="25">
        <f t="shared" si="0"/>
        <v>186000</v>
      </c>
      <c r="F6" s="62"/>
    </row>
    <row r="7" spans="1:6" x14ac:dyDescent="0.35">
      <c r="A7" s="24" t="s">
        <v>239</v>
      </c>
      <c r="B7" s="22">
        <v>12</v>
      </c>
      <c r="C7" s="23">
        <v>62</v>
      </c>
      <c r="D7" s="24">
        <f>IFERROR(VLOOKUP(A7,[1]!TablaEquipos[#Data],2,FALSE),0)</f>
        <v>1000</v>
      </c>
      <c r="E7" s="25">
        <f t="shared" si="0"/>
        <v>744000</v>
      </c>
      <c r="F7" s="62"/>
    </row>
    <row r="8" spans="1:6" x14ac:dyDescent="0.35">
      <c r="A8" s="24" t="s">
        <v>242</v>
      </c>
      <c r="B8" s="22">
        <v>20</v>
      </c>
      <c r="C8" s="23">
        <v>62</v>
      </c>
      <c r="D8" s="24">
        <v>500</v>
      </c>
      <c r="E8" s="25">
        <f t="shared" si="0"/>
        <v>620000</v>
      </c>
      <c r="F8" s="62"/>
    </row>
    <row r="9" spans="1:6" x14ac:dyDescent="0.35">
      <c r="A9" s="24" t="s">
        <v>345</v>
      </c>
      <c r="B9" s="22">
        <v>2</v>
      </c>
      <c r="C9" s="23">
        <v>62</v>
      </c>
      <c r="D9" s="24">
        <v>500</v>
      </c>
      <c r="E9" s="25">
        <f t="shared" si="0"/>
        <v>62000</v>
      </c>
      <c r="F9" s="62"/>
    </row>
    <row r="10" spans="1:6" x14ac:dyDescent="0.35">
      <c r="A10" s="24"/>
      <c r="B10" s="22"/>
      <c r="C10" s="23"/>
      <c r="D10" s="24">
        <v>40000</v>
      </c>
      <c r="E10" s="25">
        <f t="shared" si="0"/>
        <v>0</v>
      </c>
      <c r="F10" s="62"/>
    </row>
    <row r="11" spans="1:6" x14ac:dyDescent="0.35">
      <c r="A11" s="24"/>
      <c r="B11" s="22"/>
      <c r="C11" s="23"/>
      <c r="D11" s="24"/>
      <c r="E11" s="25"/>
      <c r="F11" s="62"/>
    </row>
    <row r="12" spans="1:6" x14ac:dyDescent="0.35">
      <c r="A12" s="24"/>
      <c r="B12" s="22"/>
      <c r="C12" s="23"/>
      <c r="D12" s="24"/>
      <c r="E12" s="25"/>
      <c r="F12" s="62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/>
      <c r="F13" s="62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/>
      <c r="F14" s="62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/>
      <c r="F15" s="62"/>
    </row>
    <row r="16" spans="1:6" ht="15" thickBot="1" x14ac:dyDescent="0.4">
      <c r="A16" s="294"/>
      <c r="B16" s="295"/>
      <c r="C16" s="295"/>
      <c r="D16" s="295"/>
      <c r="E16" s="295"/>
      <c r="F16" s="84">
        <f>SUM(E4:E15)</f>
        <v>2070800</v>
      </c>
    </row>
    <row r="17" spans="1:6" x14ac:dyDescent="0.35">
      <c r="A17" s="33" t="s">
        <v>270</v>
      </c>
      <c r="B17" s="34" t="s">
        <v>83</v>
      </c>
      <c r="C17" s="45" t="s">
        <v>84</v>
      </c>
      <c r="D17" s="46" t="s">
        <v>269</v>
      </c>
      <c r="E17" s="37" t="s">
        <v>86</v>
      </c>
      <c r="F17" s="168"/>
    </row>
    <row r="18" spans="1:6" x14ac:dyDescent="0.35">
      <c r="A18" s="31" t="s">
        <v>243</v>
      </c>
      <c r="B18" s="78">
        <v>150</v>
      </c>
      <c r="C18" s="23"/>
      <c r="D18" s="27">
        <f>IFERROR(VLOOKUP(A18,[1]!TablaMateriales[#Data],2,FALSE),0)</f>
        <v>9500</v>
      </c>
      <c r="E18" s="27">
        <f>B18*D18</f>
        <v>1425000</v>
      </c>
      <c r="F18" s="173"/>
    </row>
    <row r="19" spans="1:6" ht="15.5" x14ac:dyDescent="0.35">
      <c r="A19" s="122" t="s">
        <v>792</v>
      </c>
      <c r="B19" s="78">
        <v>2</v>
      </c>
      <c r="C19" s="23"/>
      <c r="D19" s="27">
        <f>IFERROR(VLOOKUP(A19,[1]!TablaMateriales[#Data],2,FALSE),0)</f>
        <v>20000</v>
      </c>
      <c r="E19" s="27">
        <f>B19*D19</f>
        <v>40000</v>
      </c>
      <c r="F19" s="173"/>
    </row>
    <row r="20" spans="1:6" ht="15.5" x14ac:dyDescent="0.35">
      <c r="A20" s="122"/>
      <c r="B20" s="78"/>
      <c r="C20" s="23"/>
      <c r="D20" s="27"/>
      <c r="E20" s="27"/>
      <c r="F20" s="173"/>
    </row>
    <row r="21" spans="1:6" ht="15.5" x14ac:dyDescent="0.35">
      <c r="A21" s="122"/>
      <c r="B21" s="78"/>
      <c r="C21" s="23"/>
      <c r="D21" s="27"/>
      <c r="E21" s="27"/>
      <c r="F21" s="173"/>
    </row>
    <row r="22" spans="1:6" ht="15" thickBot="1" x14ac:dyDescent="0.4">
      <c r="A22" s="31"/>
      <c r="B22" s="78"/>
      <c r="C22" s="23"/>
      <c r="D22" s="27">
        <f>IFERROR(VLOOKUP(A22,[1]!TablaMateriales[#Data],2,FALSE),0)</f>
        <v>0</v>
      </c>
      <c r="E22" s="27"/>
      <c r="F22" s="173"/>
    </row>
    <row r="23" spans="1:6" ht="15" thickBot="1" x14ac:dyDescent="0.4">
      <c r="A23" s="296"/>
      <c r="B23" s="297"/>
      <c r="C23" s="297"/>
      <c r="D23" s="297"/>
      <c r="E23" s="298"/>
      <c r="F23" s="28">
        <f>SUM(E18:E22)</f>
        <v>1465000</v>
      </c>
    </row>
    <row r="24" spans="1:6" x14ac:dyDescent="0.35">
      <c r="A24" s="33" t="s">
        <v>88</v>
      </c>
      <c r="B24" s="34" t="s">
        <v>83</v>
      </c>
      <c r="C24" s="35" t="s">
        <v>84</v>
      </c>
      <c r="D24" s="36" t="s">
        <v>89</v>
      </c>
      <c r="E24" s="37" t="s">
        <v>86</v>
      </c>
      <c r="F24" s="168"/>
    </row>
    <row r="25" spans="1:6" x14ac:dyDescent="0.35">
      <c r="A25" s="38" t="s">
        <v>272</v>
      </c>
      <c r="B25" s="34">
        <v>1</v>
      </c>
      <c r="C25" s="35">
        <v>28.8</v>
      </c>
      <c r="D25" s="39">
        <f>'tabla salarial'!AS4</f>
        <v>555393.74067333317</v>
      </c>
      <c r="E25" s="37">
        <f>B25*C25*D25</f>
        <v>15995339.731391996</v>
      </c>
      <c r="F25" s="155"/>
    </row>
    <row r="26" spans="1:6" x14ac:dyDescent="0.35">
      <c r="A26" s="107" t="s">
        <v>273</v>
      </c>
      <c r="B26" s="20">
        <v>1</v>
      </c>
      <c r="C26" s="40">
        <v>28.8</v>
      </c>
      <c r="D26" s="39">
        <f>'tabla salarial'!AS4</f>
        <v>555393.74067333317</v>
      </c>
      <c r="E26" s="21">
        <f>B26*C26*D26</f>
        <v>15995339.731391996</v>
      </c>
      <c r="F26" s="155"/>
    </row>
    <row r="27" spans="1:6" x14ac:dyDescent="0.35">
      <c r="A27" s="107" t="s">
        <v>274</v>
      </c>
      <c r="B27" s="20">
        <v>1</v>
      </c>
      <c r="C27" s="35">
        <v>86</v>
      </c>
      <c r="D27" s="39">
        <f>'tabla salarial'!AS7</f>
        <v>371571.3297066667</v>
      </c>
      <c r="E27" s="21">
        <f>B27*C27*D27</f>
        <v>31955134.354773335</v>
      </c>
      <c r="F27" s="155"/>
    </row>
    <row r="28" spans="1:6" x14ac:dyDescent="0.35">
      <c r="A28" s="107" t="s">
        <v>793</v>
      </c>
      <c r="B28" s="20">
        <v>1</v>
      </c>
      <c r="C28" s="35">
        <v>28.8</v>
      </c>
      <c r="D28" s="39">
        <f>'tabla salarial'!AS8</f>
        <v>355821.87609999999</v>
      </c>
      <c r="E28" s="21">
        <f>B28*C28*D28</f>
        <v>10247670.031680001</v>
      </c>
      <c r="F28" s="155"/>
    </row>
    <row r="29" spans="1:6" x14ac:dyDescent="0.35">
      <c r="A29" s="107" t="s">
        <v>275</v>
      </c>
      <c r="B29" s="20">
        <v>2</v>
      </c>
      <c r="C29" s="40">
        <v>86</v>
      </c>
      <c r="D29" s="39">
        <f>'tabla salarial'!AS9</f>
        <v>382109.06042666658</v>
      </c>
      <c r="E29" s="21">
        <f>B29*C29*D29</f>
        <v>65722758.393386655</v>
      </c>
      <c r="F29" s="155"/>
    </row>
    <row r="30" spans="1:6" x14ac:dyDescent="0.35">
      <c r="A30" s="287"/>
      <c r="B30" s="287"/>
      <c r="C30" s="287"/>
      <c r="D30" s="287"/>
      <c r="E30" s="287"/>
      <c r="F30" s="42">
        <f>SUM(E25:E29)</f>
        <v>139916242.24262398</v>
      </c>
    </row>
    <row r="31" spans="1:6" x14ac:dyDescent="0.35">
      <c r="A31" s="33" t="s">
        <v>279</v>
      </c>
      <c r="B31" s="34" t="s">
        <v>83</v>
      </c>
      <c r="C31" s="35" t="s">
        <v>84</v>
      </c>
      <c r="D31" s="36" t="s">
        <v>269</v>
      </c>
      <c r="E31" s="37" t="s">
        <v>86</v>
      </c>
      <c r="F31" s="170"/>
    </row>
    <row r="32" spans="1:6" x14ac:dyDescent="0.35">
      <c r="A32" s="108" t="s">
        <v>376</v>
      </c>
      <c r="B32" s="108">
        <v>1</v>
      </c>
      <c r="C32" s="108">
        <v>20</v>
      </c>
      <c r="D32" s="108">
        <v>550000</v>
      </c>
      <c r="E32" s="110">
        <f>B32*C32*D32</f>
        <v>11000000</v>
      </c>
      <c r="F32" s="171"/>
    </row>
    <row r="33" spans="1:6" x14ac:dyDescent="0.35">
      <c r="A33" s="108" t="s">
        <v>218</v>
      </c>
      <c r="B33" s="108">
        <v>1</v>
      </c>
      <c r="C33" s="108">
        <v>62</v>
      </c>
      <c r="D33" s="108">
        <f>IFERROR(VLOOKUP(A33,[1]!TablaTransporte[#Data],2,FALSE),0)</f>
        <v>1330000</v>
      </c>
      <c r="E33" s="108">
        <f>B33*C33*D33</f>
        <v>82460000</v>
      </c>
      <c r="F33" s="171"/>
    </row>
    <row r="34" spans="1:6" x14ac:dyDescent="0.35">
      <c r="A34" s="108" t="s">
        <v>245</v>
      </c>
      <c r="B34" s="108">
        <v>1</v>
      </c>
      <c r="C34" s="108">
        <v>62</v>
      </c>
      <c r="D34" s="108">
        <f>IFERROR(VLOOKUP(A34,[1]!TablaTransporte[#Data],2,FALSE),0)</f>
        <v>1350000</v>
      </c>
      <c r="E34" s="108">
        <f>B34*C34*D34</f>
        <v>83700000</v>
      </c>
      <c r="F34" s="172"/>
    </row>
    <row r="35" spans="1:6" x14ac:dyDescent="0.35">
      <c r="A35" s="43"/>
      <c r="B35" s="43"/>
      <c r="C35" s="43"/>
      <c r="D35" s="43"/>
      <c r="E35" s="43"/>
      <c r="F35" s="42">
        <f>SUM(E32:E34)</f>
        <v>177160000</v>
      </c>
    </row>
    <row r="36" spans="1:6" x14ac:dyDescent="0.35">
      <c r="A36" s="288"/>
      <c r="B36" s="289"/>
      <c r="C36" s="289"/>
      <c r="D36" s="289"/>
      <c r="E36" s="290"/>
      <c r="F36" s="42">
        <f>F16+F23+F30+F35</f>
        <v>320612042.24262398</v>
      </c>
    </row>
    <row r="37" spans="1:6" ht="15" thickBot="1" x14ac:dyDescent="0.4">
      <c r="A37" s="291"/>
      <c r="B37" s="292"/>
      <c r="C37" s="292"/>
      <c r="D37" s="292"/>
      <c r="E37" s="293"/>
      <c r="F37" s="44">
        <f>F36*A37</f>
        <v>0</v>
      </c>
    </row>
    <row r="38" spans="1:6" ht="15" thickBot="1" x14ac:dyDescent="0.4">
      <c r="A38" s="299"/>
      <c r="B38" s="300"/>
      <c r="C38" s="300"/>
      <c r="D38" s="300"/>
      <c r="E38" s="301"/>
      <c r="F38" s="28">
        <f>F36+F37</f>
        <v>320612042.24262398</v>
      </c>
    </row>
    <row r="39" spans="1:6" ht="15" thickBot="1" x14ac:dyDescent="0.4">
      <c r="A39" s="302"/>
      <c r="B39" s="300"/>
      <c r="C39" s="300"/>
      <c r="D39" s="300"/>
      <c r="E39" s="301"/>
      <c r="F39" s="28">
        <f>F38*A39</f>
        <v>0</v>
      </c>
    </row>
    <row r="40" spans="1:6" ht="15" thickBot="1" x14ac:dyDescent="0.4">
      <c r="A40" s="286"/>
      <c r="B40" s="286"/>
      <c r="C40" s="286"/>
      <c r="D40" s="286"/>
      <c r="E40" s="286"/>
      <c r="F40" s="28">
        <f>F38+F39</f>
        <v>320612042.24262398</v>
      </c>
    </row>
    <row r="41" spans="1:6" x14ac:dyDescent="0.35">
      <c r="F41" s="176">
        <f>F40/F3</f>
        <v>5171161.9716552254</v>
      </c>
    </row>
  </sheetData>
  <mergeCells count="9">
    <mergeCell ref="A1:F1"/>
    <mergeCell ref="A16:E16"/>
    <mergeCell ref="A38:E38"/>
    <mergeCell ref="A39:E39"/>
    <mergeCell ref="A40:E40"/>
    <mergeCell ref="A30:E30"/>
    <mergeCell ref="A36:E36"/>
    <mergeCell ref="A37:E37"/>
    <mergeCell ref="A23:E23"/>
  </mergeCells>
  <dataValidations count="4">
    <dataValidation type="list" allowBlank="1" showInputMessage="1" promptTitle="Seleccione un equipo" prompt="Elija de la lista o escriba un elemento nuevo si no aparece." sqref="A79:A158" xr:uid="{9474F0D8-7731-4E2C-A7E4-E551C51C78FF}">
      <formula1>"TablaEquipos"</formula1>
    </dataValidation>
    <dataValidation type="list" allowBlank="1" showInputMessage="1" promptTitle="Seleccione un equipo" prompt="Elija de la lista o escriba un elemento nuevo si no aparece." sqref="A3:A16" xr:uid="{4B177633-52BB-4538-A18B-2AEFFA406790}">
      <formula1>ListaEquipos</formula1>
    </dataValidation>
    <dataValidation type="list" allowBlank="1" showInputMessage="1" promptTitle="Seleccione un equipo" prompt="Elija de la lista o escriba un elemento nuevo si no aparece." sqref="A33:A34" xr:uid="{ADF3325F-33D7-427C-99C8-B2E6C7F7884A}">
      <formula1>ListaTransporte</formula1>
    </dataValidation>
    <dataValidation type="list" allowBlank="1" showInputMessage="1" promptTitle="Seleccione un material" prompt="Elija de la lista o escriba un elemento nuevo si no aparece." sqref="A18:A23" xr:uid="{9714ECEF-9B68-4407-806A-399DAC4C81D8}">
      <formula1>ListaMateriales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2E9CFE9B-9FEC-4F96-83A5-4F7EF1CD8DD2}">
          <x14:formula1>
            <xm:f>'D:\RFC SAS 2026\COTIZACIONES 2026\[COT-105-2026  r.nuñez adecuacion punto de control odc caucasia.xlsx]herramientas mat transp y mano'!#REF!</xm:f>
          </x14:formula1>
          <xm:sqref>A32 A35:A78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F0D8-E8DF-490F-8A86-C88D753AB5B9}">
  <sheetPr>
    <tabColor rgb="FF00B050"/>
  </sheetPr>
  <dimension ref="A1:XFD53"/>
  <sheetViews>
    <sheetView topLeftCell="A43" workbookViewId="0">
      <selection activeCell="A37" sqref="A37"/>
    </sheetView>
  </sheetViews>
  <sheetFormatPr baseColWidth="10" defaultRowHeight="14.5" x14ac:dyDescent="0.35"/>
  <cols>
    <col min="1" max="1" width="21.8164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3.6328125" bestFit="1" customWidth="1"/>
  </cols>
  <sheetData>
    <row r="1" spans="1:6 16384:16384" x14ac:dyDescent="0.35">
      <c r="A1" s="306" t="s">
        <v>173</v>
      </c>
      <c r="B1" s="306"/>
      <c r="C1" s="306"/>
      <c r="D1" s="306"/>
      <c r="E1" s="306"/>
      <c r="F1" s="307"/>
    </row>
    <row r="2" spans="1:6 16384:16384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 16384:16384" x14ac:dyDescent="0.35">
      <c r="A3" s="33"/>
      <c r="B3" s="34"/>
      <c r="C3" s="45"/>
      <c r="D3" s="46"/>
      <c r="E3" s="37"/>
      <c r="F3" s="77">
        <v>657</v>
      </c>
    </row>
    <row r="4" spans="1:6 16384:16384" x14ac:dyDescent="0.35">
      <c r="A4" s="26" t="s">
        <v>227</v>
      </c>
      <c r="B4" s="22">
        <v>8</v>
      </c>
      <c r="C4" s="23">
        <v>85</v>
      </c>
      <c r="D4" s="24">
        <f>IFERROR(VLOOKUP(A4,[1]!TablaEquipos[#Data],2,FALSE),0)</f>
        <v>700</v>
      </c>
      <c r="E4" s="25">
        <f t="shared" ref="E4:E18" si="0">B4*C4*D4</f>
        <v>476000</v>
      </c>
      <c r="F4" s="62"/>
    </row>
    <row r="5" spans="1:6 16384:16384" x14ac:dyDescent="0.35">
      <c r="A5" s="26" t="s">
        <v>251</v>
      </c>
      <c r="B5" s="22">
        <v>8</v>
      </c>
      <c r="C5" s="23">
        <v>85</v>
      </c>
      <c r="D5" s="24">
        <f>IFERROR(VLOOKUP(A5,[1]!TablaEquipos[#Data],2,FALSE),0)</f>
        <v>700</v>
      </c>
      <c r="E5" s="25">
        <f>B5*C5*D5</f>
        <v>476000</v>
      </c>
      <c r="F5" s="62"/>
    </row>
    <row r="6" spans="1:6 16384:16384" x14ac:dyDescent="0.35">
      <c r="A6" s="26" t="s">
        <v>252</v>
      </c>
      <c r="B6" s="22">
        <v>8</v>
      </c>
      <c r="C6" s="23">
        <v>85</v>
      </c>
      <c r="D6" s="24">
        <f>IFERROR(VLOOKUP(A6,[1]!TablaEquipos[#Data],2,FALSE),0)</f>
        <v>700</v>
      </c>
      <c r="E6" s="25">
        <f>B6*C6*D6</f>
        <v>476000</v>
      </c>
      <c r="F6" s="62"/>
    </row>
    <row r="7" spans="1:6 16384:16384" x14ac:dyDescent="0.35">
      <c r="A7" s="26" t="s">
        <v>231</v>
      </c>
      <c r="B7" s="22">
        <v>4</v>
      </c>
      <c r="C7" s="23">
        <v>85</v>
      </c>
      <c r="D7" s="24">
        <f>IFERROR(VLOOKUP(A7,[1]!TablaEquipos[#Data],2,FALSE),0)</f>
        <v>1500</v>
      </c>
      <c r="E7" s="25">
        <f t="shared" si="0"/>
        <v>510000</v>
      </c>
      <c r="F7" s="62"/>
    </row>
    <row r="8" spans="1:6 16384:16384" x14ac:dyDescent="0.35">
      <c r="A8" s="24" t="s">
        <v>228</v>
      </c>
      <c r="B8" s="22">
        <v>4</v>
      </c>
      <c r="C8" s="23">
        <v>85</v>
      </c>
      <c r="D8" s="24">
        <f>IFERROR(VLOOKUP(A8,[1]!TablaEquipos[#Data],2,FALSE),0)</f>
        <v>1500</v>
      </c>
      <c r="E8" s="25">
        <f t="shared" si="0"/>
        <v>510000</v>
      </c>
      <c r="F8" s="62"/>
    </row>
    <row r="9" spans="1:6 16384:16384" x14ac:dyDescent="0.35">
      <c r="A9" s="24" t="s">
        <v>224</v>
      </c>
      <c r="B9" s="22">
        <v>1</v>
      </c>
      <c r="C9" s="23">
        <v>85</v>
      </c>
      <c r="D9" s="24">
        <f>IFERROR(VLOOKUP(A9,[1]!TablaEquipos[#Data],2,FALSE),0)</f>
        <v>1500</v>
      </c>
      <c r="E9" s="25">
        <f t="shared" si="0"/>
        <v>127500</v>
      </c>
      <c r="F9" s="62"/>
    </row>
    <row r="10" spans="1:6 16384:16384" x14ac:dyDescent="0.35">
      <c r="A10" s="24" t="s">
        <v>229</v>
      </c>
      <c r="B10" s="22">
        <v>6</v>
      </c>
      <c r="C10" s="23">
        <v>85</v>
      </c>
      <c r="D10" s="24">
        <f>IFERROR(VLOOKUP(A10,[1]!TablaEquipos[#Data],2,FALSE),0)</f>
        <v>1500</v>
      </c>
      <c r="E10" s="25">
        <f t="shared" si="0"/>
        <v>765000</v>
      </c>
      <c r="F10" s="62"/>
    </row>
    <row r="11" spans="1:6 16384:16384" ht="15.5" x14ac:dyDescent="0.35">
      <c r="A11" s="122" t="s">
        <v>242</v>
      </c>
      <c r="B11" s="22">
        <v>30</v>
      </c>
      <c r="C11" s="23">
        <v>85</v>
      </c>
      <c r="D11" s="24">
        <v>500</v>
      </c>
      <c r="E11" s="25">
        <f>B11*C11*D11</f>
        <v>1275000</v>
      </c>
      <c r="F11" s="62"/>
    </row>
    <row r="12" spans="1:6 16384:16384" ht="15.5" x14ac:dyDescent="0.35">
      <c r="A12" s="122"/>
      <c r="B12" s="22"/>
      <c r="C12" s="23"/>
      <c r="D12" s="24"/>
      <c r="E12" s="25"/>
      <c r="F12" s="62"/>
      <c r="XFD12" s="71">
        <f>SUM(G12:XFC12)</f>
        <v>0</v>
      </c>
    </row>
    <row r="13" spans="1:6 16384:16384" ht="15.5" x14ac:dyDescent="0.35">
      <c r="A13" s="122"/>
      <c r="B13" s="22"/>
      <c r="C13" s="23"/>
      <c r="D13" s="24"/>
      <c r="E13" s="25"/>
      <c r="F13" s="62"/>
    </row>
    <row r="14" spans="1:6 16384:16384" ht="15.5" x14ac:dyDescent="0.35">
      <c r="A14" s="122"/>
      <c r="B14" s="22"/>
      <c r="C14" s="23"/>
      <c r="D14" s="24"/>
      <c r="E14" s="25"/>
      <c r="F14" s="62"/>
    </row>
    <row r="15" spans="1:6 16384:16384" ht="15.5" x14ac:dyDescent="0.35">
      <c r="A15" s="122"/>
      <c r="B15" s="22"/>
      <c r="C15" s="23"/>
      <c r="D15" s="24"/>
      <c r="E15" s="25"/>
      <c r="F15" s="62"/>
    </row>
    <row r="16" spans="1:6 16384:16384" ht="15.5" x14ac:dyDescent="0.35">
      <c r="A16" s="122"/>
      <c r="B16" s="22"/>
      <c r="C16" s="23"/>
      <c r="D16" s="24"/>
      <c r="E16" s="25"/>
      <c r="F16" s="62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>
        <f t="shared" si="0"/>
        <v>0</v>
      </c>
      <c r="F17" s="62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>
        <f t="shared" si="0"/>
        <v>0</v>
      </c>
      <c r="F18" s="62"/>
    </row>
    <row r="19" spans="1:6" ht="15" thickBot="1" x14ac:dyDescent="0.4">
      <c r="A19" s="294"/>
      <c r="B19" s="295"/>
      <c r="C19" s="295"/>
      <c r="D19" s="295"/>
      <c r="E19" s="295"/>
      <c r="F19" s="84">
        <f>SUM(E4:E18)</f>
        <v>4615500</v>
      </c>
    </row>
    <row r="20" spans="1:6" x14ac:dyDescent="0.35">
      <c r="A20" s="33" t="s">
        <v>270</v>
      </c>
      <c r="B20" s="34" t="s">
        <v>83</v>
      </c>
      <c r="C20" s="45" t="s">
        <v>84</v>
      </c>
      <c r="D20" s="46" t="s">
        <v>269</v>
      </c>
      <c r="E20" s="37" t="s">
        <v>86</v>
      </c>
      <c r="F20" s="168"/>
    </row>
    <row r="21" spans="1:6" ht="23" x14ac:dyDescent="0.35">
      <c r="A21" s="26" t="s">
        <v>253</v>
      </c>
      <c r="B21" s="22">
        <v>20</v>
      </c>
      <c r="C21" s="29"/>
      <c r="D21" s="27">
        <f>IFERROR(VLOOKUP(A21,[1]!TablaMateriales[#Data],2,FALSE),0)</f>
        <v>35000</v>
      </c>
      <c r="E21" s="25">
        <f>B21*D21</f>
        <v>700000</v>
      </c>
      <c r="F21" s="155"/>
    </row>
    <row r="22" spans="1:6" x14ac:dyDescent="0.35">
      <c r="A22" s="30" t="s">
        <v>254</v>
      </c>
      <c r="B22" s="22">
        <v>30</v>
      </c>
      <c r="C22" s="29"/>
      <c r="D22" s="27">
        <f>IFERROR(VLOOKUP(A22,[1]!TablaMateriales[#Data],2,FALSE),0)</f>
        <v>20000</v>
      </c>
      <c r="E22" s="25">
        <f>B22*D22</f>
        <v>600000</v>
      </c>
      <c r="F22" s="155"/>
    </row>
    <row r="23" spans="1:6" x14ac:dyDescent="0.35">
      <c r="A23" s="30" t="s">
        <v>258</v>
      </c>
      <c r="B23" s="78">
        <v>5</v>
      </c>
      <c r="C23" s="23"/>
      <c r="D23" s="27">
        <f>IFERROR(VLOOKUP(A23,[1]!TablaMateriales[#Data],2,FALSE),0)</f>
        <v>9500</v>
      </c>
      <c r="E23" s="25">
        <f>B23*D23</f>
        <v>47500</v>
      </c>
      <c r="F23" s="155"/>
    </row>
    <row r="24" spans="1:6" ht="23" x14ac:dyDescent="0.35">
      <c r="A24" s="79" t="s">
        <v>261</v>
      </c>
      <c r="B24" s="85">
        <v>2</v>
      </c>
      <c r="C24" s="23"/>
      <c r="D24" s="27">
        <f>IFERROR(VLOOKUP(A24,[1]!TablaMateriales[#Data],2,FALSE),0)</f>
        <v>55000</v>
      </c>
      <c r="E24" s="25">
        <f>B24*D24</f>
        <v>110000</v>
      </c>
      <c r="F24" s="155"/>
    </row>
    <row r="25" spans="1:6" x14ac:dyDescent="0.35">
      <c r="A25" s="31" t="s">
        <v>359</v>
      </c>
      <c r="B25" s="78">
        <v>150</v>
      </c>
      <c r="C25" s="23"/>
      <c r="D25" s="27">
        <v>9500</v>
      </c>
      <c r="E25" s="27">
        <f>B25*D25</f>
        <v>1425000</v>
      </c>
      <c r="F25" s="173"/>
    </row>
    <row r="26" spans="1:6" x14ac:dyDescent="0.35">
      <c r="A26" s="31"/>
      <c r="B26" s="78"/>
      <c r="C26" s="23"/>
      <c r="D26" s="27"/>
      <c r="E26" s="27"/>
      <c r="F26" s="173"/>
    </row>
    <row r="27" spans="1:6" x14ac:dyDescent="0.35">
      <c r="A27" s="31"/>
      <c r="B27" s="78"/>
      <c r="C27" s="23"/>
      <c r="D27" s="27"/>
      <c r="E27" s="27"/>
      <c r="F27" s="173"/>
    </row>
    <row r="28" spans="1:6" x14ac:dyDescent="0.35">
      <c r="A28" s="31"/>
      <c r="B28" s="78"/>
      <c r="C28" s="23"/>
      <c r="D28" s="27">
        <f>IFERROR(VLOOKUP(A28,[1]!TablaMateriales[#Data],2,FALSE),0)</f>
        <v>0</v>
      </c>
      <c r="E28" s="27"/>
      <c r="F28" s="173"/>
    </row>
    <row r="29" spans="1:6" x14ac:dyDescent="0.35">
      <c r="A29" s="31"/>
      <c r="B29" s="78"/>
      <c r="C29" s="23"/>
      <c r="D29" s="27">
        <f>IFERROR(VLOOKUP(A29,[1]!TablaMateriales[#Data],2,FALSE),0)</f>
        <v>0</v>
      </c>
      <c r="E29" s="27"/>
      <c r="F29" s="173"/>
    </row>
    <row r="30" spans="1:6" x14ac:dyDescent="0.35">
      <c r="A30" s="31"/>
      <c r="B30" s="78"/>
      <c r="C30" s="23"/>
      <c r="D30" s="27">
        <f>IFERROR(VLOOKUP(A30,[1]!TablaMateriales[#Data],2,FALSE),0)</f>
        <v>0</v>
      </c>
      <c r="E30" s="27"/>
      <c r="F30" s="173"/>
    </row>
    <row r="31" spans="1:6" ht="15" thickBot="1" x14ac:dyDescent="0.4">
      <c r="A31" s="31"/>
      <c r="B31" s="78"/>
      <c r="C31" s="23"/>
      <c r="D31" s="27">
        <f>IFERROR(VLOOKUP(A31,[1]!TablaMateriales[#Data],2,FALSE),0)</f>
        <v>0</v>
      </c>
      <c r="E31" s="27"/>
      <c r="F31" s="173"/>
    </row>
    <row r="32" spans="1:6" ht="15" thickBot="1" x14ac:dyDescent="0.4">
      <c r="A32" s="296"/>
      <c r="B32" s="297"/>
      <c r="C32" s="297"/>
      <c r="D32" s="297"/>
      <c r="E32" s="298"/>
      <c r="F32" s="28">
        <f>SUM(E21:E31)</f>
        <v>2882500</v>
      </c>
    </row>
    <row r="33" spans="1:6" x14ac:dyDescent="0.35">
      <c r="A33" s="33" t="s">
        <v>88</v>
      </c>
      <c r="B33" s="34" t="s">
        <v>83</v>
      </c>
      <c r="C33" s="35" t="s">
        <v>84</v>
      </c>
      <c r="D33" s="36" t="s">
        <v>89</v>
      </c>
      <c r="E33" s="37" t="s">
        <v>86</v>
      </c>
      <c r="F33" s="168"/>
    </row>
    <row r="34" spans="1:6" x14ac:dyDescent="0.35">
      <c r="A34" s="38" t="s">
        <v>272</v>
      </c>
      <c r="B34" s="34">
        <v>1</v>
      </c>
      <c r="C34" s="35">
        <v>34</v>
      </c>
      <c r="D34" s="39">
        <f>'tabla salarial'!AS4</f>
        <v>555393.74067333317</v>
      </c>
      <c r="E34" s="37">
        <f>B34*C34*D34</f>
        <v>18883387.182893328</v>
      </c>
      <c r="F34" s="155"/>
    </row>
    <row r="35" spans="1:6" x14ac:dyDescent="0.35">
      <c r="A35" s="107" t="s">
        <v>273</v>
      </c>
      <c r="B35" s="20">
        <v>1</v>
      </c>
      <c r="C35" s="40">
        <v>34</v>
      </c>
      <c r="D35" s="39">
        <f>'tabla salarial'!AS4</f>
        <v>555393.74067333317</v>
      </c>
      <c r="E35" s="21">
        <f>B35*C35*D35</f>
        <v>18883387.182893328</v>
      </c>
      <c r="F35" s="155"/>
    </row>
    <row r="36" spans="1:6" x14ac:dyDescent="0.35">
      <c r="A36" s="107" t="s">
        <v>274</v>
      </c>
      <c r="B36" s="20">
        <v>2</v>
      </c>
      <c r="C36" s="35">
        <v>102</v>
      </c>
      <c r="D36" s="39">
        <f>'tabla salarial'!AS7</f>
        <v>371571.3297066667</v>
      </c>
      <c r="E36" s="21">
        <f>B36*C36*D36</f>
        <v>75800551.260160014</v>
      </c>
      <c r="F36" s="155"/>
    </row>
    <row r="37" spans="1:6" x14ac:dyDescent="0.35">
      <c r="A37" s="107" t="s">
        <v>793</v>
      </c>
      <c r="B37" s="20">
        <v>1</v>
      </c>
      <c r="C37" s="35">
        <v>34</v>
      </c>
      <c r="D37" s="39">
        <f>'tabla salarial'!AS8</f>
        <v>355821.87609999999</v>
      </c>
      <c r="E37" s="21">
        <f>B37*C37*D37</f>
        <v>12097943.7874</v>
      </c>
      <c r="F37" s="155"/>
    </row>
    <row r="38" spans="1:6" x14ac:dyDescent="0.35">
      <c r="A38" s="107" t="s">
        <v>275</v>
      </c>
      <c r="B38" s="20">
        <v>8</v>
      </c>
      <c r="C38" s="35">
        <v>102</v>
      </c>
      <c r="D38" s="39">
        <f>'tabla salarial'!AS9</f>
        <v>382109.06042666658</v>
      </c>
      <c r="E38" s="21">
        <f>B38*C38*D38</f>
        <v>311800993.30815995</v>
      </c>
      <c r="F38" s="155"/>
    </row>
    <row r="39" spans="1:6" x14ac:dyDescent="0.35">
      <c r="A39" s="287">
        <v>3</v>
      </c>
      <c r="B39" s="287"/>
      <c r="C39" s="287"/>
      <c r="D39" s="287"/>
      <c r="E39" s="287"/>
      <c r="F39" s="42">
        <f>SUM(E34:E38)</f>
        <v>437466262.7215066</v>
      </c>
    </row>
    <row r="40" spans="1:6" x14ac:dyDescent="0.35">
      <c r="A40" s="33" t="s">
        <v>279</v>
      </c>
      <c r="B40" s="34" t="s">
        <v>83</v>
      </c>
      <c r="C40" s="35" t="s">
        <v>84</v>
      </c>
      <c r="D40" s="36" t="s">
        <v>269</v>
      </c>
      <c r="E40" s="37" t="s">
        <v>86</v>
      </c>
      <c r="F40" s="170"/>
    </row>
    <row r="41" spans="1:6" x14ac:dyDescent="0.35">
      <c r="A41" s="108" t="s">
        <v>376</v>
      </c>
      <c r="B41" s="108">
        <v>1</v>
      </c>
      <c r="C41" s="108">
        <v>85</v>
      </c>
      <c r="D41" s="108">
        <v>600000</v>
      </c>
      <c r="E41" s="110">
        <f>B41*C41*D41</f>
        <v>51000000</v>
      </c>
      <c r="F41" s="171"/>
    </row>
    <row r="42" spans="1:6" x14ac:dyDescent="0.35">
      <c r="A42" s="108" t="s">
        <v>244</v>
      </c>
      <c r="B42" s="108">
        <v>1</v>
      </c>
      <c r="C42" s="108">
        <v>4</v>
      </c>
      <c r="D42" s="108">
        <v>1330000</v>
      </c>
      <c r="E42" s="108">
        <f>B42*C42*D42</f>
        <v>5320000</v>
      </c>
      <c r="F42" s="171"/>
    </row>
    <row r="43" spans="1:6" x14ac:dyDescent="0.35">
      <c r="A43" s="108" t="s">
        <v>245</v>
      </c>
      <c r="B43" s="108">
        <v>1</v>
      </c>
      <c r="C43" s="108">
        <v>4</v>
      </c>
      <c r="D43" s="108">
        <v>1390000</v>
      </c>
      <c r="E43" s="108">
        <f>B43*C43*D43</f>
        <v>5560000</v>
      </c>
      <c r="F43" s="171"/>
    </row>
    <row r="44" spans="1:6" x14ac:dyDescent="0.35">
      <c r="A44" s="108" t="s">
        <v>377</v>
      </c>
      <c r="B44" s="108">
        <v>1</v>
      </c>
      <c r="C44" s="108">
        <v>1</v>
      </c>
      <c r="D44" s="108">
        <v>1650000</v>
      </c>
      <c r="E44" s="108">
        <f>B44*C44*D44</f>
        <v>1650000</v>
      </c>
      <c r="F44" s="171"/>
    </row>
    <row r="45" spans="1:6" x14ac:dyDescent="0.35">
      <c r="A45" s="41"/>
      <c r="B45" s="41"/>
      <c r="C45" s="41"/>
      <c r="D45" s="41"/>
      <c r="E45" s="41"/>
      <c r="F45" s="171"/>
    </row>
    <row r="46" spans="1:6" x14ac:dyDescent="0.35">
      <c r="A46" s="41"/>
      <c r="B46" s="41"/>
      <c r="C46" s="41"/>
      <c r="D46" s="41"/>
      <c r="E46" s="41"/>
      <c r="F46" s="172"/>
    </row>
    <row r="47" spans="1:6" x14ac:dyDescent="0.35">
      <c r="A47" s="43"/>
      <c r="B47" s="43"/>
      <c r="C47" s="43"/>
      <c r="D47" s="43"/>
      <c r="E47" s="43"/>
      <c r="F47" s="42">
        <f>SUM(E41:E46)</f>
        <v>63530000</v>
      </c>
    </row>
    <row r="48" spans="1:6" x14ac:dyDescent="0.35">
      <c r="A48" s="288"/>
      <c r="B48" s="289"/>
      <c r="C48" s="289"/>
      <c r="D48" s="289"/>
      <c r="E48" s="290"/>
      <c r="F48" s="42">
        <f>F19+F32+F39+F47</f>
        <v>508494262.7215066</v>
      </c>
    </row>
    <row r="49" spans="1:6" ht="15" thickBot="1" x14ac:dyDescent="0.4">
      <c r="A49" s="291"/>
      <c r="B49" s="292"/>
      <c r="C49" s="292"/>
      <c r="D49" s="292"/>
      <c r="E49" s="293"/>
      <c r="F49" s="44">
        <f>F48*A49</f>
        <v>0</v>
      </c>
    </row>
    <row r="50" spans="1:6" ht="15" thickBot="1" x14ac:dyDescent="0.4">
      <c r="A50" s="299"/>
      <c r="B50" s="300"/>
      <c r="C50" s="300"/>
      <c r="D50" s="300"/>
      <c r="E50" s="301"/>
      <c r="F50" s="28">
        <f>F48+F49</f>
        <v>508494262.7215066</v>
      </c>
    </row>
    <row r="51" spans="1:6" ht="15" thickBot="1" x14ac:dyDescent="0.4">
      <c r="A51" s="302"/>
      <c r="B51" s="300"/>
      <c r="C51" s="300"/>
      <c r="D51" s="300"/>
      <c r="E51" s="301"/>
      <c r="F51" s="28">
        <f>F50*A51</f>
        <v>0</v>
      </c>
    </row>
    <row r="52" spans="1:6" ht="15" thickBot="1" x14ac:dyDescent="0.4">
      <c r="A52" s="286"/>
      <c r="B52" s="286"/>
      <c r="C52" s="286"/>
      <c r="D52" s="286"/>
      <c r="E52" s="286"/>
      <c r="F52" s="28">
        <f>F50+F51</f>
        <v>508494262.7215066</v>
      </c>
    </row>
    <row r="53" spans="1:6" x14ac:dyDescent="0.35">
      <c r="F53" s="176">
        <f>F52/F3</f>
        <v>773963.87020016229</v>
      </c>
    </row>
  </sheetData>
  <mergeCells count="9">
    <mergeCell ref="A1:F1"/>
    <mergeCell ref="A19:E19"/>
    <mergeCell ref="A50:E50"/>
    <mergeCell ref="A51:E51"/>
    <mergeCell ref="A52:E52"/>
    <mergeCell ref="A39:E39"/>
    <mergeCell ref="A48:E48"/>
    <mergeCell ref="A49:E49"/>
    <mergeCell ref="A32:E32"/>
  </mergeCells>
  <dataValidations count="2">
    <dataValidation type="list" allowBlank="1" showInputMessage="1" promptTitle="Seleccione un equipo" prompt="Elija de la lista o escriba un elemento nuevo si no aparece." sqref="A83:A162" xr:uid="{B12BF6E1-540E-4EC1-A2FC-E8A2F0B60B97}">
      <formula1>"TablaEquipos"</formula1>
    </dataValidation>
    <dataValidation type="list" allowBlank="1" showInputMessage="1" promptTitle="Seleccione un material" prompt="Elija de la lista o escriba un elemento nuevo si no aparece." sqref="A21:A32" xr:uid="{25E2B53E-1148-4979-9215-D5C84A87D426}">
      <formula1>"TablaMateriales"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78EAA4D6-CDC1-416C-B4E1-D4D1A4DA73A8}">
          <x14:formula1>
            <xm:f>'D:\RFC SAS 2026\COTIZACIONES 2026\[COT-105-2026  r.nuñez adecuacion punto de control odc caucasia.xlsx]herramientas mat transp y mano'!#REF!</xm:f>
          </x14:formula1>
          <xm:sqref>A3:A19 A41:A82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BD31-0F2C-4477-AB88-D57204F52249}">
  <sheetPr>
    <tabColor rgb="FF00B050"/>
  </sheetPr>
  <dimension ref="A1:F57"/>
  <sheetViews>
    <sheetView topLeftCell="A13" workbookViewId="0">
      <selection activeCell="G55" sqref="G55"/>
    </sheetView>
  </sheetViews>
  <sheetFormatPr baseColWidth="10" defaultRowHeight="14.5" x14ac:dyDescent="0.35"/>
  <cols>
    <col min="1" max="1" width="21.81640625" bestFit="1" customWidth="1"/>
    <col min="2" max="2" width="5.36328125" bestFit="1" customWidth="1"/>
    <col min="3" max="3" width="9.6328125" bestFit="1" customWidth="1"/>
    <col min="4" max="4" width="13.08984375" customWidth="1"/>
    <col min="5" max="5" width="12.36328125" customWidth="1"/>
    <col min="6" max="6" width="13.6328125" bestFit="1" customWidth="1"/>
  </cols>
  <sheetData>
    <row r="1" spans="1:6" x14ac:dyDescent="0.35">
      <c r="A1" s="306" t="s">
        <v>174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525</v>
      </c>
    </row>
    <row r="4" spans="1:6" x14ac:dyDescent="0.35">
      <c r="A4" s="24" t="s">
        <v>225</v>
      </c>
      <c r="B4" s="22">
        <v>1</v>
      </c>
      <c r="C4" s="23">
        <v>15</v>
      </c>
      <c r="D4" s="24">
        <f>IFERROR(VLOOKUP(A4,[1]!TablaEquipos[#Data],2,FALSE),0)</f>
        <v>1500</v>
      </c>
      <c r="E4" s="25">
        <f>B4*C4*D4</f>
        <v>22500</v>
      </c>
      <c r="F4" s="62"/>
    </row>
    <row r="5" spans="1:6" x14ac:dyDescent="0.35">
      <c r="A5" s="26" t="s">
        <v>226</v>
      </c>
      <c r="B5" s="22">
        <v>1</v>
      </c>
      <c r="C5" s="23">
        <v>15</v>
      </c>
      <c r="D5" s="24">
        <f>IFERROR(VLOOKUP(A5,[1]!TablaEquipos[#Data],2,FALSE),0)</f>
        <v>700</v>
      </c>
      <c r="E5" s="25">
        <f>B5*C5*D5</f>
        <v>10500</v>
      </c>
      <c r="F5" s="62"/>
    </row>
    <row r="6" spans="1:6" x14ac:dyDescent="0.35">
      <c r="A6" s="26" t="s">
        <v>227</v>
      </c>
      <c r="B6" s="22">
        <v>8</v>
      </c>
      <c r="C6" s="23">
        <v>87.5</v>
      </c>
      <c r="D6" s="24">
        <f>IFERROR(VLOOKUP(A6,[1]!TablaEquipos[#Data],2,FALSE),0)</f>
        <v>700</v>
      </c>
      <c r="E6" s="25">
        <f>B6*C6*D6</f>
        <v>490000</v>
      </c>
      <c r="F6" s="62"/>
    </row>
    <row r="7" spans="1:6" x14ac:dyDescent="0.35">
      <c r="A7" s="26" t="s">
        <v>251</v>
      </c>
      <c r="B7" s="22">
        <v>8</v>
      </c>
      <c r="C7" s="23">
        <v>87.5</v>
      </c>
      <c r="D7" s="24">
        <f>IFERROR(VLOOKUP(A7,[1]!TablaEquipos[#Data],2,FALSE),0)</f>
        <v>700</v>
      </c>
      <c r="E7" s="25">
        <f>B7*C7*D7</f>
        <v>490000</v>
      </c>
      <c r="F7" s="62"/>
    </row>
    <row r="8" spans="1:6" x14ac:dyDescent="0.35">
      <c r="A8" s="26" t="s">
        <v>252</v>
      </c>
      <c r="B8" s="22">
        <v>8</v>
      </c>
      <c r="C8" s="23">
        <v>87.5</v>
      </c>
      <c r="D8" s="24">
        <f>IFERROR(VLOOKUP(A8,[1]!TablaEquipos[#Data],2,FALSE),0)</f>
        <v>700</v>
      </c>
      <c r="E8" s="25">
        <f>B8*C8*D8</f>
        <v>490000</v>
      </c>
      <c r="F8" s="62"/>
    </row>
    <row r="9" spans="1:6" x14ac:dyDescent="0.35">
      <c r="A9" s="26" t="s">
        <v>231</v>
      </c>
      <c r="B9" s="22">
        <v>2</v>
      </c>
      <c r="C9" s="23">
        <v>40</v>
      </c>
      <c r="D9" s="24">
        <f>IFERROR(VLOOKUP(A9,[1]!TablaEquipos[#Data],2,FALSE),0)</f>
        <v>1500</v>
      </c>
      <c r="E9" s="25">
        <f t="shared" ref="E9:E15" si="0">B9*C9*D9</f>
        <v>120000</v>
      </c>
      <c r="F9" s="62"/>
    </row>
    <row r="10" spans="1:6" x14ac:dyDescent="0.35">
      <c r="A10" s="24" t="s">
        <v>228</v>
      </c>
      <c r="B10" s="22">
        <v>2</v>
      </c>
      <c r="C10" s="23">
        <v>87.5</v>
      </c>
      <c r="D10" s="24">
        <f>IFERROR(VLOOKUP(A10,[1]!TablaEquipos[#Data],2,FALSE),0)</f>
        <v>1500</v>
      </c>
      <c r="E10" s="25">
        <f t="shared" si="0"/>
        <v>262500</v>
      </c>
      <c r="F10" s="62"/>
    </row>
    <row r="11" spans="1:6" x14ac:dyDescent="0.35">
      <c r="A11" s="24" t="s">
        <v>224</v>
      </c>
      <c r="B11" s="22">
        <v>1</v>
      </c>
      <c r="C11" s="23">
        <v>87.5</v>
      </c>
      <c r="D11" s="24">
        <f>IFERROR(VLOOKUP(A11,[1]!TablaEquipos[#Data],2,FALSE),0)</f>
        <v>1500</v>
      </c>
      <c r="E11" s="25">
        <f t="shared" si="0"/>
        <v>131250</v>
      </c>
      <c r="F11" s="62"/>
    </row>
    <row r="12" spans="1:6" x14ac:dyDescent="0.35">
      <c r="A12" s="26" t="s">
        <v>230</v>
      </c>
      <c r="B12" s="22">
        <v>1</v>
      </c>
      <c r="C12" s="23">
        <v>15</v>
      </c>
      <c r="D12" s="24">
        <f>IFERROR(VLOOKUP(A12,[1]!TablaEquipos[#Data],2,FALSE),0)</f>
        <v>15000</v>
      </c>
      <c r="E12" s="25">
        <f t="shared" si="0"/>
        <v>225000</v>
      </c>
      <c r="F12" s="62"/>
    </row>
    <row r="13" spans="1:6" x14ac:dyDescent="0.35">
      <c r="A13" s="24" t="s">
        <v>229</v>
      </c>
      <c r="B13" s="22">
        <v>6</v>
      </c>
      <c r="C13" s="23">
        <v>87.5</v>
      </c>
      <c r="D13" s="24">
        <f>IFERROR(VLOOKUP(A13,[1]!TablaEquipos[#Data],2,FALSE),0)</f>
        <v>1500</v>
      </c>
      <c r="E13" s="25">
        <f t="shared" si="0"/>
        <v>787500</v>
      </c>
      <c r="F13" s="62"/>
    </row>
    <row r="14" spans="1:6" ht="15.5" x14ac:dyDescent="0.35">
      <c r="A14" s="122" t="s">
        <v>337</v>
      </c>
      <c r="B14" s="22">
        <v>12</v>
      </c>
      <c r="C14" s="23">
        <v>87.5</v>
      </c>
      <c r="D14" s="24">
        <f>IFERROR(VLOOKUP(A14,[1]!TablaEquipos[#Data],2,FALSE),0)</f>
        <v>500</v>
      </c>
      <c r="E14" s="25">
        <f t="shared" si="0"/>
        <v>525000</v>
      </c>
      <c r="F14" s="62"/>
    </row>
    <row r="15" spans="1:6" ht="15.5" x14ac:dyDescent="0.35">
      <c r="A15" s="122" t="s">
        <v>242</v>
      </c>
      <c r="B15" s="22">
        <v>30</v>
      </c>
      <c r="C15" s="23">
        <v>87.5</v>
      </c>
      <c r="D15" s="24">
        <f>IFERROR(VLOOKUP(A15,[1]!TablaEquipos[#Data],2,FALSE),0)</f>
        <v>1000</v>
      </c>
      <c r="E15" s="25">
        <f t="shared" si="0"/>
        <v>2625000</v>
      </c>
      <c r="F15" s="62"/>
    </row>
    <row r="16" spans="1:6" ht="15.5" x14ac:dyDescent="0.35">
      <c r="A16" s="122"/>
      <c r="B16" s="22"/>
      <c r="C16" s="23"/>
      <c r="D16" s="24"/>
      <c r="E16" s="25">
        <f>B16*C16*D16</f>
        <v>0</v>
      </c>
      <c r="F16" s="62"/>
    </row>
    <row r="17" spans="1:6" ht="15.5" x14ac:dyDescent="0.35">
      <c r="A17" s="122"/>
      <c r="B17" s="22"/>
      <c r="C17" s="23"/>
      <c r="D17" s="24"/>
      <c r="E17" s="25"/>
      <c r="F17" s="62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>
        <f>B18*C18*D18</f>
        <v>0</v>
      </c>
      <c r="F18" s="62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>
        <f>B19*C19*D19</f>
        <v>0</v>
      </c>
      <c r="F19" s="62"/>
    </row>
    <row r="20" spans="1:6" ht="15" thickBot="1" x14ac:dyDescent="0.4">
      <c r="A20" s="294"/>
      <c r="B20" s="295"/>
      <c r="C20" s="295"/>
      <c r="D20" s="295"/>
      <c r="E20" s="295"/>
      <c r="F20" s="84">
        <f>SUM(E4:E19)</f>
        <v>6179250</v>
      </c>
    </row>
    <row r="21" spans="1:6" x14ac:dyDescent="0.35">
      <c r="A21" s="33" t="s">
        <v>270</v>
      </c>
      <c r="B21" s="34" t="s">
        <v>83</v>
      </c>
      <c r="C21" s="45" t="s">
        <v>84</v>
      </c>
      <c r="D21" s="46" t="s">
        <v>269</v>
      </c>
      <c r="E21" s="37" t="s">
        <v>86</v>
      </c>
      <c r="F21" s="168"/>
    </row>
    <row r="22" spans="1:6" ht="23" x14ac:dyDescent="0.35">
      <c r="A22" s="26" t="s">
        <v>253</v>
      </c>
      <c r="B22" s="22">
        <v>20</v>
      </c>
      <c r="C22" s="29"/>
      <c r="D22" s="27">
        <f>IFERROR(VLOOKUP(A22,[1]!TablaMateriales[#Data],2,FALSE),0)</f>
        <v>35000</v>
      </c>
      <c r="E22" s="25">
        <f t="shared" ref="E22:E29" si="1">B22*D22</f>
        <v>700000</v>
      </c>
      <c r="F22" s="155"/>
    </row>
    <row r="23" spans="1:6" ht="19.5" customHeight="1" x14ac:dyDescent="0.35">
      <c r="A23" s="30" t="s">
        <v>254</v>
      </c>
      <c r="B23" s="22">
        <v>30</v>
      </c>
      <c r="C23" s="29"/>
      <c r="D23" s="27">
        <f>IFERROR(VLOOKUP(A23,[1]!TablaMateriales[#Data],2,FALSE),0)</f>
        <v>20000</v>
      </c>
      <c r="E23" s="25">
        <f t="shared" si="1"/>
        <v>600000</v>
      </c>
      <c r="F23" s="155"/>
    </row>
    <row r="24" spans="1:6" x14ac:dyDescent="0.35">
      <c r="A24" s="30" t="s">
        <v>360</v>
      </c>
      <c r="B24" s="22">
        <v>20</v>
      </c>
      <c r="C24" s="29"/>
      <c r="D24" s="27">
        <v>45000</v>
      </c>
      <c r="E24" s="25">
        <f t="shared" si="1"/>
        <v>900000</v>
      </c>
      <c r="F24" s="155"/>
    </row>
    <row r="25" spans="1:6" x14ac:dyDescent="0.35">
      <c r="A25" s="30" t="s">
        <v>258</v>
      </c>
      <c r="B25" s="78">
        <v>5</v>
      </c>
      <c r="C25" s="23"/>
      <c r="D25" s="27">
        <f>IFERROR(VLOOKUP(A25,[1]!TablaMateriales[#Data],2,FALSE),0)</f>
        <v>9500</v>
      </c>
      <c r="E25" s="25">
        <f t="shared" si="1"/>
        <v>47500</v>
      </c>
      <c r="F25" s="155"/>
    </row>
    <row r="26" spans="1:6" ht="23" x14ac:dyDescent="0.35">
      <c r="A26" s="79" t="s">
        <v>261</v>
      </c>
      <c r="B26" s="85">
        <v>4</v>
      </c>
      <c r="C26" s="23"/>
      <c r="D26" s="27">
        <f>IFERROR(VLOOKUP(A26,[1]!TablaMateriales[#Data],2,FALSE),0)</f>
        <v>55000</v>
      </c>
      <c r="E26" s="25">
        <f t="shared" si="1"/>
        <v>220000</v>
      </c>
      <c r="F26" s="155"/>
    </row>
    <row r="27" spans="1:6" x14ac:dyDescent="0.35">
      <c r="A27" s="31" t="s">
        <v>380</v>
      </c>
      <c r="B27" s="78">
        <v>10</v>
      </c>
      <c r="C27" s="23"/>
      <c r="D27" s="27">
        <v>20000</v>
      </c>
      <c r="E27" s="27">
        <f t="shared" si="1"/>
        <v>200000</v>
      </c>
      <c r="F27" s="173"/>
    </row>
    <row r="28" spans="1:6" x14ac:dyDescent="0.35">
      <c r="A28" s="31" t="s">
        <v>352</v>
      </c>
      <c r="B28" s="78">
        <v>100</v>
      </c>
      <c r="C28" s="23"/>
      <c r="D28" s="27">
        <f>IFERROR(VLOOKUP(A28,[1]!TablaMateriales[#Data],2,FALSE),0)</f>
        <v>2850</v>
      </c>
      <c r="E28" s="27">
        <f t="shared" si="1"/>
        <v>285000</v>
      </c>
      <c r="F28" s="173"/>
    </row>
    <row r="29" spans="1:6" x14ac:dyDescent="0.35">
      <c r="A29" s="31" t="s">
        <v>353</v>
      </c>
      <c r="B29" s="78">
        <v>50</v>
      </c>
      <c r="C29" s="23"/>
      <c r="D29" s="27">
        <f>IFERROR(VLOOKUP(A29,[1]!TablaMateriales[#Data],2,FALSE),0)</f>
        <v>0</v>
      </c>
      <c r="E29" s="27">
        <f t="shared" si="1"/>
        <v>0</v>
      </c>
      <c r="F29" s="173"/>
    </row>
    <row r="30" spans="1:6" x14ac:dyDescent="0.35">
      <c r="A30" s="31"/>
      <c r="B30" s="78"/>
      <c r="C30" s="23"/>
      <c r="D30" s="27"/>
      <c r="E30" s="27"/>
      <c r="F30" s="173"/>
    </row>
    <row r="31" spans="1:6" x14ac:dyDescent="0.35">
      <c r="A31" s="31"/>
      <c r="B31" s="78"/>
      <c r="C31" s="23"/>
      <c r="D31" s="27"/>
      <c r="E31" s="27"/>
      <c r="F31" s="173"/>
    </row>
    <row r="32" spans="1:6" x14ac:dyDescent="0.35">
      <c r="A32" s="31"/>
      <c r="B32" s="78"/>
      <c r="C32" s="23"/>
      <c r="D32" s="27"/>
      <c r="E32" s="27"/>
      <c r="F32" s="173"/>
    </row>
    <row r="33" spans="1:6" x14ac:dyDescent="0.35">
      <c r="A33" s="31"/>
      <c r="B33" s="78"/>
      <c r="C33" s="23"/>
      <c r="D33" s="27"/>
      <c r="E33" s="27"/>
      <c r="F33" s="173"/>
    </row>
    <row r="34" spans="1:6" x14ac:dyDescent="0.35">
      <c r="A34" s="31"/>
      <c r="B34" s="78"/>
      <c r="C34" s="23"/>
      <c r="D34" s="27"/>
      <c r="E34" s="27"/>
      <c r="F34" s="173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/>
      <c r="F35" s="173"/>
    </row>
    <row r="36" spans="1:6" ht="15" thickBot="1" x14ac:dyDescent="0.4">
      <c r="A36" s="31"/>
      <c r="B36" s="78"/>
      <c r="C36" s="23"/>
      <c r="D36" s="27">
        <f>IFERROR(VLOOKUP(A36,[1]!TablaMateriales[#Data],2,FALSE),0)</f>
        <v>0</v>
      </c>
      <c r="E36" s="27"/>
      <c r="F36" s="173"/>
    </row>
    <row r="37" spans="1:6" ht="15" thickBot="1" x14ac:dyDescent="0.4">
      <c r="A37" s="296"/>
      <c r="B37" s="297"/>
      <c r="C37" s="297"/>
      <c r="D37" s="297"/>
      <c r="E37" s="298"/>
      <c r="F37" s="28">
        <f>SUM(E22:E36)</f>
        <v>2952500</v>
      </c>
    </row>
    <row r="38" spans="1:6" x14ac:dyDescent="0.35">
      <c r="A38" s="33" t="s">
        <v>88</v>
      </c>
      <c r="B38" s="34" t="s">
        <v>83</v>
      </c>
      <c r="C38" s="35" t="s">
        <v>84</v>
      </c>
      <c r="D38" s="36" t="s">
        <v>89</v>
      </c>
      <c r="E38" s="37" t="s">
        <v>86</v>
      </c>
      <c r="F38" s="168"/>
    </row>
    <row r="39" spans="1:6" x14ac:dyDescent="0.35">
      <c r="A39" s="38" t="s">
        <v>272</v>
      </c>
      <c r="B39" s="34">
        <v>1</v>
      </c>
      <c r="C39" s="35">
        <v>40</v>
      </c>
      <c r="D39" s="39">
        <f>'tabla salarial'!AS4</f>
        <v>555393.74067333317</v>
      </c>
      <c r="E39" s="37">
        <f t="shared" ref="E39:E44" si="2">B39*C39*D39</f>
        <v>22215749.626933329</v>
      </c>
      <c r="F39" s="155"/>
    </row>
    <row r="40" spans="1:6" x14ac:dyDescent="0.35">
      <c r="A40" s="107" t="s">
        <v>273</v>
      </c>
      <c r="B40" s="20">
        <v>1</v>
      </c>
      <c r="C40" s="40">
        <v>40</v>
      </c>
      <c r="D40" s="39">
        <f>'tabla salarial'!AS4</f>
        <v>555393.74067333317</v>
      </c>
      <c r="E40" s="21">
        <f t="shared" si="2"/>
        <v>22215749.626933329</v>
      </c>
      <c r="F40" s="155"/>
    </row>
    <row r="41" spans="1:6" x14ac:dyDescent="0.35">
      <c r="A41" s="107" t="s">
        <v>378</v>
      </c>
      <c r="B41" s="20">
        <v>1</v>
      </c>
      <c r="C41" s="35">
        <v>63</v>
      </c>
      <c r="D41" s="39">
        <f>'tabla salarial'!AS5</f>
        <v>443956.94156000001</v>
      </c>
      <c r="E41" s="21">
        <f t="shared" si="2"/>
        <v>27969287.31828</v>
      </c>
      <c r="F41" s="155"/>
    </row>
    <row r="42" spans="1:6" x14ac:dyDescent="0.35">
      <c r="A42" s="107" t="s">
        <v>274</v>
      </c>
      <c r="B42" s="20">
        <v>2</v>
      </c>
      <c r="C42" s="35">
        <v>121</v>
      </c>
      <c r="D42" s="39">
        <f>'tabla salarial'!AS7</f>
        <v>371571.3297066667</v>
      </c>
      <c r="E42" s="21">
        <f t="shared" si="2"/>
        <v>89920261.789013341</v>
      </c>
      <c r="F42" s="155"/>
    </row>
    <row r="43" spans="1:6" x14ac:dyDescent="0.35">
      <c r="A43" s="107" t="s">
        <v>293</v>
      </c>
      <c r="B43" s="20">
        <v>1</v>
      </c>
      <c r="C43" s="35">
        <v>40</v>
      </c>
      <c r="D43" s="39">
        <f>'tabla salarial'!AS8</f>
        <v>355821.87609999999</v>
      </c>
      <c r="E43" s="21">
        <f t="shared" si="2"/>
        <v>14232875.044</v>
      </c>
      <c r="F43" s="155"/>
    </row>
    <row r="44" spans="1:6" x14ac:dyDescent="0.35">
      <c r="A44" s="107" t="s">
        <v>275</v>
      </c>
      <c r="B44" s="20">
        <v>8</v>
      </c>
      <c r="C44" s="40">
        <v>121</v>
      </c>
      <c r="D44" s="39">
        <f>'tabla salarial'!AS9</f>
        <v>382109.06042666658</v>
      </c>
      <c r="E44" s="21">
        <f t="shared" si="2"/>
        <v>369881570.49301326</v>
      </c>
      <c r="F44" s="169"/>
    </row>
    <row r="45" spans="1:6" x14ac:dyDescent="0.35">
      <c r="A45" s="287">
        <v>3</v>
      </c>
      <c r="B45" s="287"/>
      <c r="C45" s="287"/>
      <c r="D45" s="287"/>
      <c r="E45" s="287"/>
      <c r="F45" s="42">
        <f>SUM(E39:E44)</f>
        <v>546435493.89817321</v>
      </c>
    </row>
    <row r="46" spans="1:6" x14ac:dyDescent="0.35">
      <c r="A46" s="33" t="s">
        <v>279</v>
      </c>
      <c r="B46" s="34" t="s">
        <v>83</v>
      </c>
      <c r="C46" s="35" t="s">
        <v>84</v>
      </c>
      <c r="D46" s="36" t="s">
        <v>269</v>
      </c>
      <c r="E46" s="37" t="s">
        <v>86</v>
      </c>
      <c r="F46" s="170"/>
    </row>
    <row r="47" spans="1:6" x14ac:dyDescent="0.35">
      <c r="A47" s="108" t="s">
        <v>240</v>
      </c>
      <c r="B47" s="108">
        <v>1</v>
      </c>
      <c r="C47" s="108">
        <v>3</v>
      </c>
      <c r="D47" s="108">
        <f>IFERROR(VLOOKUP(A47,[1]!TablaTransporte[#Data],2,FALSE),0)</f>
        <v>550000</v>
      </c>
      <c r="E47" s="110">
        <f>B47*C47*D47</f>
        <v>1650000</v>
      </c>
      <c r="F47" s="171"/>
    </row>
    <row r="48" spans="1:6" x14ac:dyDescent="0.35">
      <c r="A48" s="108" t="s">
        <v>294</v>
      </c>
      <c r="B48" s="108">
        <v>1</v>
      </c>
      <c r="C48" s="108">
        <v>1</v>
      </c>
      <c r="D48" s="108">
        <f>IFERROR(VLOOKUP(A48,[1]!TablaTransporte[#Data],2,FALSE),0)</f>
        <v>1650000</v>
      </c>
      <c r="E48" s="108">
        <f>B48*C48*D48</f>
        <v>1650000</v>
      </c>
      <c r="F48" s="171"/>
    </row>
    <row r="49" spans="1:6" x14ac:dyDescent="0.35">
      <c r="A49" s="108" t="s">
        <v>244</v>
      </c>
      <c r="B49" s="108">
        <v>1</v>
      </c>
      <c r="C49" s="108">
        <v>11</v>
      </c>
      <c r="D49" s="108">
        <f>IFERROR(VLOOKUP(A49,[1]!TablaTransporte[#Data],2,FALSE),0)</f>
        <v>190000</v>
      </c>
      <c r="E49" s="108">
        <f>B49*C49*D49</f>
        <v>2090000</v>
      </c>
      <c r="F49" s="171"/>
    </row>
    <row r="50" spans="1:6" x14ac:dyDescent="0.35">
      <c r="A50" s="108" t="s">
        <v>245</v>
      </c>
      <c r="B50" s="108">
        <v>1</v>
      </c>
      <c r="C50" s="108">
        <v>11</v>
      </c>
      <c r="D50" s="108">
        <f>IFERROR(VLOOKUP(A50,[1]!TablaTransporte[#Data],2,FALSE),0)</f>
        <v>1350000</v>
      </c>
      <c r="E50" s="108">
        <f>B50*C50*D50</f>
        <v>14850000</v>
      </c>
      <c r="F50" s="172"/>
    </row>
    <row r="51" spans="1:6" x14ac:dyDescent="0.35">
      <c r="A51" s="108" t="s">
        <v>314</v>
      </c>
      <c r="B51" s="108">
        <v>1</v>
      </c>
      <c r="C51" s="108">
        <v>87</v>
      </c>
      <c r="D51" s="108">
        <v>550000</v>
      </c>
      <c r="E51" s="108">
        <f>B51*C51*D51</f>
        <v>47850000</v>
      </c>
      <c r="F51" s="42">
        <f>SUM(E47:E50)</f>
        <v>20240000</v>
      </c>
    </row>
    <row r="52" spans="1:6" x14ac:dyDescent="0.35">
      <c r="A52" s="288"/>
      <c r="B52" s="289"/>
      <c r="C52" s="289"/>
      <c r="D52" s="289"/>
      <c r="E52" s="290"/>
      <c r="F52" s="42">
        <f>F20+F37+F45+F51</f>
        <v>575807243.89817321</v>
      </c>
    </row>
    <row r="53" spans="1:6" ht="15" thickBot="1" x14ac:dyDescent="0.4">
      <c r="A53" s="291"/>
      <c r="B53" s="292"/>
      <c r="C53" s="292"/>
      <c r="D53" s="292"/>
      <c r="E53" s="293"/>
      <c r="F53" s="44">
        <f>F52*A53</f>
        <v>0</v>
      </c>
    </row>
    <row r="54" spans="1:6" ht="15" thickBot="1" x14ac:dyDescent="0.4">
      <c r="A54" s="299"/>
      <c r="B54" s="300"/>
      <c r="C54" s="300"/>
      <c r="D54" s="300"/>
      <c r="E54" s="301"/>
      <c r="F54" s="28">
        <f>F52+F53</f>
        <v>575807243.89817321</v>
      </c>
    </row>
    <row r="55" spans="1:6" ht="15" thickBot="1" x14ac:dyDescent="0.4">
      <c r="A55" s="302"/>
      <c r="B55" s="300"/>
      <c r="C55" s="300"/>
      <c r="D55" s="300"/>
      <c r="E55" s="301"/>
      <c r="F55" s="28">
        <f>F54*A55</f>
        <v>0</v>
      </c>
    </row>
    <row r="56" spans="1:6" ht="15" thickBot="1" x14ac:dyDescent="0.4">
      <c r="A56" s="286"/>
      <c r="B56" s="286"/>
      <c r="C56" s="286"/>
      <c r="D56" s="286"/>
      <c r="E56" s="286"/>
      <c r="F56" s="28">
        <f>F54+F55</f>
        <v>575807243.89817321</v>
      </c>
    </row>
    <row r="57" spans="1:6" x14ac:dyDescent="0.35">
      <c r="F57" s="176">
        <f>F56/F3</f>
        <v>1096775.7026631872</v>
      </c>
    </row>
  </sheetData>
  <mergeCells count="9">
    <mergeCell ref="A1:F1"/>
    <mergeCell ref="A54:E54"/>
    <mergeCell ref="A55:E55"/>
    <mergeCell ref="A56:E56"/>
    <mergeCell ref="A53:E53"/>
    <mergeCell ref="A20:E20"/>
    <mergeCell ref="A37:E37"/>
    <mergeCell ref="A45:E45"/>
    <mergeCell ref="A52:E52"/>
  </mergeCells>
  <dataValidations count="4">
    <dataValidation type="list" allowBlank="1" showInputMessage="1" promptTitle="Seleccione un equipo" prompt="Elija de la lista o escriba un elemento nuevo si no aparece." sqref="A95:A174" xr:uid="{4714CECA-4961-466A-9906-57114F13B41E}">
      <formula1>"TablaEquipos"</formula1>
    </dataValidation>
    <dataValidation type="list" allowBlank="1" showInputMessage="1" promptTitle="Seleccione un equipo" prompt="Elija de la lista o escriba un elemento nuevo si no aparece." sqref="A3 A4 A5 A6 A7 A8 A9 A10 A11 A12 A13 A14 A15 A16 A17 A18 A19 A20" xr:uid="{E2D35B54-927F-47B7-A2A7-2A08BF8E2577}">
      <formula1>ListaEquipos</formula1>
    </dataValidation>
    <dataValidation type="list" allowBlank="1" showInputMessage="1" promptTitle="Seleccione un equipo" prompt="Elija de la lista o escriba un elemento nuevo si no aparece." sqref="A48 A49 A50 A51" xr:uid="{16F8637F-35AA-4AAA-963F-CF6D0728A8B0}">
      <formula1>ListaTransporte</formula1>
    </dataValidation>
    <dataValidation type="list" allowBlank="1" showInputMessage="1" promptTitle="Seleccione un material" prompt="Elija de la lista o escriba un elemento nuevo si no aparece." sqref="A22:A37" xr:uid="{EC50882C-C28E-4729-AD88-32926A7914EB}">
      <formula1>ListaMateriales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C64165F5-D017-4C26-9BF7-2F8F7A5EDE6F}">
          <x14:formula1>
            <xm:f>'D:\RFC SAS 2026\COTIZACIONES 2026\[COT-105-2026  r.nuñez adecuacion punto de control odc caucasia.xlsx]herramientas mat transp y mano'!#REF!</xm:f>
          </x14:formula1>
          <xm:sqref>A47 A52:A94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ED87-590D-4939-95C5-7973DA1FE611}">
  <sheetPr>
    <tabColor rgb="FF00B050"/>
  </sheetPr>
  <dimension ref="A1:F46"/>
  <sheetViews>
    <sheetView topLeftCell="A34" workbookViewId="0">
      <selection activeCell="I39" sqref="I39"/>
    </sheetView>
  </sheetViews>
  <sheetFormatPr baseColWidth="10" defaultRowHeight="14.5" x14ac:dyDescent="0.35"/>
  <cols>
    <col min="1" max="1" width="30.08984375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175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29</v>
      </c>
    </row>
    <row r="4" spans="1:6" x14ac:dyDescent="0.35">
      <c r="A4" s="26" t="s">
        <v>227</v>
      </c>
      <c r="B4" s="22">
        <v>2</v>
      </c>
      <c r="C4" s="23">
        <v>0.5</v>
      </c>
      <c r="D4" s="24">
        <f>IFERROR(VLOOKUP(A4,[1]!TablaEquipos[#Data],2,FALSE),0)</f>
        <v>700</v>
      </c>
      <c r="E4" s="25">
        <f>B4*C4*D4</f>
        <v>700</v>
      </c>
      <c r="F4" s="62"/>
    </row>
    <row r="5" spans="1:6" x14ac:dyDescent="0.35">
      <c r="A5" s="26" t="s">
        <v>251</v>
      </c>
      <c r="B5" s="22">
        <v>2</v>
      </c>
      <c r="C5" s="23">
        <v>0.5</v>
      </c>
      <c r="D5" s="24">
        <f>IFERROR(VLOOKUP(A5,[1]!TablaEquipos[#Data],2,FALSE),0)</f>
        <v>700</v>
      </c>
      <c r="E5" s="25">
        <f>B5*C5*D5</f>
        <v>700</v>
      </c>
      <c r="F5" s="62"/>
    </row>
    <row r="6" spans="1:6" x14ac:dyDescent="0.35">
      <c r="A6" s="24" t="s">
        <v>228</v>
      </c>
      <c r="B6" s="22">
        <v>2</v>
      </c>
      <c r="C6" s="23">
        <v>1</v>
      </c>
      <c r="D6" s="24">
        <f>IFERROR(VLOOKUP(A6,[1]!TablaEquipos[#Data],2,FALSE),0)</f>
        <v>1500</v>
      </c>
      <c r="E6" s="25">
        <f>B6*C6*D6</f>
        <v>3000</v>
      </c>
      <c r="F6" s="62"/>
    </row>
    <row r="7" spans="1:6" x14ac:dyDescent="0.35">
      <c r="A7" s="24" t="s">
        <v>229</v>
      </c>
      <c r="B7" s="22">
        <v>2</v>
      </c>
      <c r="C7" s="23">
        <v>1</v>
      </c>
      <c r="D7" s="24">
        <f>IFERROR(VLOOKUP(A7,[1]!TablaEquipos[#Data],2,FALSE),0)</f>
        <v>1500</v>
      </c>
      <c r="E7" s="25">
        <f>B7*C7*D7</f>
        <v>3000</v>
      </c>
      <c r="F7" s="62"/>
    </row>
    <row r="8" spans="1:6" ht="15.5" x14ac:dyDescent="0.35">
      <c r="A8" s="122"/>
      <c r="B8" s="22"/>
      <c r="C8" s="23"/>
      <c r="D8" s="24">
        <v>45000</v>
      </c>
      <c r="E8" s="25">
        <f t="shared" ref="E8:E13" si="0">B8*C8*D8</f>
        <v>0</v>
      </c>
      <c r="F8" s="62"/>
    </row>
    <row r="9" spans="1:6" ht="15.5" x14ac:dyDescent="0.35">
      <c r="A9" s="122" t="s">
        <v>340</v>
      </c>
      <c r="B9" s="22">
        <v>1</v>
      </c>
      <c r="C9" s="23">
        <v>2</v>
      </c>
      <c r="D9" s="24">
        <v>4000</v>
      </c>
      <c r="E9" s="25">
        <f t="shared" si="0"/>
        <v>8000</v>
      </c>
      <c r="F9" s="62"/>
    </row>
    <row r="10" spans="1:6" ht="15.5" x14ac:dyDescent="0.35">
      <c r="A10" s="122" t="s">
        <v>323</v>
      </c>
      <c r="B10" s="22">
        <v>1</v>
      </c>
      <c r="C10" s="23">
        <v>2</v>
      </c>
      <c r="D10" s="24">
        <v>4000</v>
      </c>
      <c r="E10" s="25">
        <f t="shared" si="0"/>
        <v>8000</v>
      </c>
      <c r="F10" s="62"/>
    </row>
    <row r="11" spans="1:6" ht="15.5" x14ac:dyDescent="0.35">
      <c r="A11" s="122" t="s">
        <v>322</v>
      </c>
      <c r="B11" s="22">
        <v>1</v>
      </c>
      <c r="C11" s="23">
        <v>2</v>
      </c>
      <c r="D11" s="24">
        <v>3000</v>
      </c>
      <c r="E11" s="25">
        <f t="shared" si="0"/>
        <v>6000</v>
      </c>
      <c r="F11" s="62"/>
    </row>
    <row r="12" spans="1:6" ht="15.5" x14ac:dyDescent="0.35">
      <c r="A12" s="122" t="s">
        <v>341</v>
      </c>
      <c r="B12" s="22">
        <v>10</v>
      </c>
      <c r="C12" s="23">
        <v>2</v>
      </c>
      <c r="D12" s="24">
        <v>1000</v>
      </c>
      <c r="E12" s="25">
        <f t="shared" si="0"/>
        <v>20000</v>
      </c>
      <c r="F12" s="62"/>
    </row>
    <row r="13" spans="1:6" ht="15.5" x14ac:dyDescent="0.35">
      <c r="A13" s="122" t="s">
        <v>242</v>
      </c>
      <c r="B13" s="22">
        <v>20</v>
      </c>
      <c r="C13" s="23">
        <v>2</v>
      </c>
      <c r="D13" s="24">
        <v>500</v>
      </c>
      <c r="E13" s="25">
        <f t="shared" si="0"/>
        <v>20000</v>
      </c>
      <c r="F13" s="62"/>
    </row>
    <row r="14" spans="1:6" ht="15.5" x14ac:dyDescent="0.35">
      <c r="A14" s="122"/>
      <c r="B14" s="22"/>
      <c r="C14" s="23"/>
      <c r="D14" s="24"/>
      <c r="E14" s="25"/>
      <c r="F14" s="62"/>
    </row>
    <row r="15" spans="1:6" ht="15.5" x14ac:dyDescent="0.35">
      <c r="A15" s="122"/>
      <c r="B15" s="22"/>
      <c r="C15" s="23"/>
      <c r="D15" s="24"/>
      <c r="E15" s="25"/>
      <c r="F15" s="62"/>
    </row>
    <row r="16" spans="1:6" ht="15.5" x14ac:dyDescent="0.35">
      <c r="A16" s="122"/>
      <c r="B16" s="22"/>
      <c r="C16" s="23"/>
      <c r="D16" s="24"/>
      <c r="E16" s="25"/>
      <c r="F16" s="62"/>
    </row>
    <row r="17" spans="1:6" ht="15.5" x14ac:dyDescent="0.35">
      <c r="A17" s="122"/>
      <c r="B17" s="22"/>
      <c r="C17" s="23"/>
      <c r="D17" s="24"/>
      <c r="E17" s="25"/>
      <c r="F17" s="62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>
        <f>B18*C18*D18</f>
        <v>0</v>
      </c>
      <c r="F18" s="62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>
        <f>B19*C19*D19</f>
        <v>0</v>
      </c>
      <c r="F19" s="62"/>
    </row>
    <row r="20" spans="1:6" ht="15" thickBot="1" x14ac:dyDescent="0.4">
      <c r="A20" s="294"/>
      <c r="B20" s="295"/>
      <c r="C20" s="295"/>
      <c r="D20" s="295"/>
      <c r="E20" s="295"/>
      <c r="F20" s="84">
        <f>SUM(E4:E18)</f>
        <v>69400</v>
      </c>
    </row>
    <row r="21" spans="1:6" x14ac:dyDescent="0.35">
      <c r="A21" s="33" t="s">
        <v>270</v>
      </c>
      <c r="B21" s="34" t="s">
        <v>83</v>
      </c>
      <c r="C21" s="45" t="s">
        <v>84</v>
      </c>
      <c r="D21" s="46" t="s">
        <v>269</v>
      </c>
      <c r="E21" s="37" t="s">
        <v>86</v>
      </c>
      <c r="F21" s="168"/>
    </row>
    <row r="22" spans="1:6" ht="23" x14ac:dyDescent="0.35">
      <c r="A22" s="31" t="s">
        <v>261</v>
      </c>
      <c r="B22" s="78">
        <v>1</v>
      </c>
      <c r="C22" s="23"/>
      <c r="D22" s="27">
        <f>IFERROR(VLOOKUP(A22,[1]!TablaMateriales[#Data],2,FALSE),0)</f>
        <v>55000</v>
      </c>
      <c r="E22" s="27">
        <f>B22*D22</f>
        <v>55000</v>
      </c>
      <c r="F22" s="173"/>
    </row>
    <row r="23" spans="1:6" x14ac:dyDescent="0.35">
      <c r="A23" s="31"/>
      <c r="B23" s="78"/>
      <c r="C23" s="23"/>
      <c r="D23" s="27">
        <f>IFERROR(VLOOKUP(A23,[1]!TablaMateriales[#Data],2,FALSE),0)</f>
        <v>0</v>
      </c>
      <c r="E23" s="27"/>
      <c r="F23" s="173"/>
    </row>
    <row r="24" spans="1:6" x14ac:dyDescent="0.35">
      <c r="A24" s="31"/>
      <c r="B24" s="78"/>
      <c r="C24" s="23"/>
      <c r="D24" s="27">
        <f>IFERROR(VLOOKUP(A24,[1]!TablaMateriales[#Data],2,FALSE),0)</f>
        <v>0</v>
      </c>
      <c r="E24" s="27"/>
      <c r="F24" s="173"/>
    </row>
    <row r="25" spans="1:6" x14ac:dyDescent="0.35">
      <c r="A25" s="31"/>
      <c r="B25" s="78"/>
      <c r="C25" s="23"/>
      <c r="D25" s="27">
        <f>IFERROR(VLOOKUP(A25,[1]!TablaMateriales[#Data],2,FALSE),0)</f>
        <v>0</v>
      </c>
      <c r="E25" s="27"/>
      <c r="F25" s="173"/>
    </row>
    <row r="26" spans="1:6" ht="15" thickBot="1" x14ac:dyDescent="0.4">
      <c r="A26" s="31"/>
      <c r="B26" s="78"/>
      <c r="C26" s="23"/>
      <c r="D26" s="27">
        <f>IFERROR(VLOOKUP(A26,[1]!TablaMateriales[#Data],2,FALSE),0)</f>
        <v>0</v>
      </c>
      <c r="E26" s="27"/>
      <c r="F26" s="173"/>
    </row>
    <row r="27" spans="1:6" ht="15" thickBot="1" x14ac:dyDescent="0.4">
      <c r="A27" s="296"/>
      <c r="B27" s="297"/>
      <c r="C27" s="297"/>
      <c r="D27" s="297"/>
      <c r="E27" s="298"/>
      <c r="F27" s="28">
        <f>SUM(E22:E26)</f>
        <v>55000</v>
      </c>
    </row>
    <row r="28" spans="1:6" ht="16.5" customHeight="1" x14ac:dyDescent="0.35">
      <c r="A28" s="33" t="s">
        <v>88</v>
      </c>
      <c r="B28" s="34" t="s">
        <v>83</v>
      </c>
      <c r="C28" s="35" t="s">
        <v>84</v>
      </c>
      <c r="D28" s="36" t="s">
        <v>89</v>
      </c>
      <c r="E28" s="37" t="s">
        <v>86</v>
      </c>
      <c r="F28" s="168"/>
    </row>
    <row r="29" spans="1:6" x14ac:dyDescent="0.35">
      <c r="A29" s="38" t="s">
        <v>272</v>
      </c>
      <c r="B29" s="34">
        <v>1</v>
      </c>
      <c r="C29" s="35">
        <v>0.57999999999999996</v>
      </c>
      <c r="D29" s="39">
        <f>'tabla salarial'!AS4</f>
        <v>555393.74067333317</v>
      </c>
      <c r="E29" s="37">
        <f>B29*C29*D29</f>
        <v>322128.3695905332</v>
      </c>
      <c r="F29" s="155"/>
    </row>
    <row r="30" spans="1:6" x14ac:dyDescent="0.35">
      <c r="A30" s="107" t="s">
        <v>273</v>
      </c>
      <c r="B30" s="20">
        <v>1</v>
      </c>
      <c r="C30" s="40">
        <v>0.57999999999999996</v>
      </c>
      <c r="D30" s="39">
        <f>'tabla salarial'!AS4</f>
        <v>555393.74067333317</v>
      </c>
      <c r="E30" s="21">
        <f>B30*C30*D30</f>
        <v>322128.3695905332</v>
      </c>
      <c r="F30" s="155"/>
    </row>
    <row r="31" spans="1:6" x14ac:dyDescent="0.35">
      <c r="A31" s="107" t="s">
        <v>293</v>
      </c>
      <c r="B31" s="20">
        <v>1</v>
      </c>
      <c r="C31" s="35">
        <v>0.57999999999999996</v>
      </c>
      <c r="D31" s="39">
        <f>'tabla salarial'!AS8</f>
        <v>355821.87609999999</v>
      </c>
      <c r="E31" s="21">
        <f>B31*C31*D31</f>
        <v>206376.68813799997</v>
      </c>
      <c r="F31" s="155"/>
    </row>
    <row r="32" spans="1:6" x14ac:dyDescent="0.35">
      <c r="A32" s="107" t="s">
        <v>274</v>
      </c>
      <c r="B32" s="20">
        <v>1</v>
      </c>
      <c r="C32" s="35">
        <v>1.57</v>
      </c>
      <c r="D32" s="39">
        <f>'tabla salarial'!AS7</f>
        <v>371571.3297066667</v>
      </c>
      <c r="E32" s="21">
        <f>B32*C32*D32</f>
        <v>583366.98763946677</v>
      </c>
      <c r="F32" s="155"/>
    </row>
    <row r="33" spans="1:6" x14ac:dyDescent="0.35">
      <c r="A33" s="107" t="s">
        <v>275</v>
      </c>
      <c r="B33" s="20">
        <v>1</v>
      </c>
      <c r="C33" s="40">
        <v>1.57</v>
      </c>
      <c r="D33" s="39">
        <f>'tabla salarial'!AS9</f>
        <v>382109.06042666658</v>
      </c>
      <c r="E33" s="21">
        <f>B33*C33*D33</f>
        <v>599911.22486986651</v>
      </c>
      <c r="F33" s="155"/>
    </row>
    <row r="34" spans="1:6" x14ac:dyDescent="0.35">
      <c r="A34" s="287">
        <v>3</v>
      </c>
      <c r="B34" s="287"/>
      <c r="C34" s="287"/>
      <c r="D34" s="287"/>
      <c r="E34" s="287"/>
      <c r="F34" s="42">
        <f>SUM(E29:E33)</f>
        <v>2033911.6398283998</v>
      </c>
    </row>
    <row r="35" spans="1:6" x14ac:dyDescent="0.35">
      <c r="A35" s="33" t="s">
        <v>279</v>
      </c>
      <c r="B35" s="34" t="s">
        <v>83</v>
      </c>
      <c r="C35" s="35" t="s">
        <v>84</v>
      </c>
      <c r="D35" s="36" t="s">
        <v>269</v>
      </c>
      <c r="E35" s="37" t="s">
        <v>86</v>
      </c>
      <c r="F35" s="170"/>
    </row>
    <row r="36" spans="1:6" x14ac:dyDescent="0.35">
      <c r="A36" s="108" t="s">
        <v>218</v>
      </c>
      <c r="B36" s="108">
        <v>1</v>
      </c>
      <c r="C36" s="166">
        <v>1.5</v>
      </c>
      <c r="D36" s="108">
        <f>IFERROR(VLOOKUP(A36,[1]!TablaTransporte[#Data],2,FALSE),0)</f>
        <v>1330000</v>
      </c>
      <c r="E36" s="108">
        <f>B36*C36*D36</f>
        <v>1995000</v>
      </c>
      <c r="F36" s="171"/>
    </row>
    <row r="37" spans="1:6" x14ac:dyDescent="0.35">
      <c r="A37" s="153" t="s">
        <v>245</v>
      </c>
      <c r="B37" s="41">
        <v>1</v>
      </c>
      <c r="C37" s="167">
        <v>1.5</v>
      </c>
      <c r="D37" s="41">
        <f>IFERROR(VLOOKUP(A37,[1]!TablaTransporte[#Data],2,FALSE),0)</f>
        <v>1350000</v>
      </c>
      <c r="E37" s="41">
        <f>B37*C37*D37</f>
        <v>2025000</v>
      </c>
      <c r="F37" s="171"/>
    </row>
    <row r="38" spans="1:6" x14ac:dyDescent="0.35">
      <c r="A38" s="153" t="s">
        <v>296</v>
      </c>
      <c r="B38" s="41">
        <v>1</v>
      </c>
      <c r="C38" s="167">
        <v>0.33</v>
      </c>
      <c r="D38" s="41">
        <f>IFERROR(VLOOKUP(A38,[1]!TablaTransporte[#Data],2,FALSE),0)</f>
        <v>1650000</v>
      </c>
      <c r="E38" s="41">
        <f>B38*C38*D38</f>
        <v>544500</v>
      </c>
      <c r="F38" s="171"/>
    </row>
    <row r="39" spans="1:6" x14ac:dyDescent="0.35">
      <c r="A39" s="154"/>
      <c r="B39" s="43"/>
      <c r="C39" s="43"/>
      <c r="D39" s="43">
        <f>IFERROR(VLOOKUP(A39,[1]!TablaTransporte[#Data],2,FALSE),0)</f>
        <v>0</v>
      </c>
      <c r="E39" s="43"/>
      <c r="F39" s="172"/>
    </row>
    <row r="40" spans="1:6" x14ac:dyDescent="0.35">
      <c r="A40" s="43"/>
      <c r="B40" s="43"/>
      <c r="C40" s="43"/>
      <c r="D40" s="43"/>
      <c r="E40" s="43"/>
      <c r="F40" s="42">
        <f>SUM(E36:E38)</f>
        <v>4564500</v>
      </c>
    </row>
    <row r="41" spans="1:6" x14ac:dyDescent="0.35">
      <c r="A41" s="288"/>
      <c r="B41" s="289"/>
      <c r="C41" s="289"/>
      <c r="D41" s="289"/>
      <c r="E41" s="290"/>
      <c r="F41" s="42">
        <f>F20+F27+F34+F40</f>
        <v>6722811.6398283998</v>
      </c>
    </row>
    <row r="42" spans="1:6" ht="15" thickBot="1" x14ac:dyDescent="0.4">
      <c r="A42" s="291"/>
      <c r="B42" s="292"/>
      <c r="C42" s="292"/>
      <c r="D42" s="292"/>
      <c r="E42" s="293"/>
      <c r="F42" s="44">
        <f>F41*A42</f>
        <v>0</v>
      </c>
    </row>
    <row r="43" spans="1:6" ht="15" thickBot="1" x14ac:dyDescent="0.4">
      <c r="A43" s="299"/>
      <c r="B43" s="300"/>
      <c r="C43" s="300"/>
      <c r="D43" s="300"/>
      <c r="E43" s="301"/>
      <c r="F43" s="28">
        <f>F41+F42</f>
        <v>6722811.6398283998</v>
      </c>
    </row>
    <row r="44" spans="1:6" ht="15" thickBot="1" x14ac:dyDescent="0.4">
      <c r="A44" s="302"/>
      <c r="B44" s="300"/>
      <c r="C44" s="300"/>
      <c r="D44" s="300"/>
      <c r="E44" s="301"/>
      <c r="F44" s="28">
        <f>F43*A44</f>
        <v>0</v>
      </c>
    </row>
    <row r="45" spans="1:6" ht="15" thickBot="1" x14ac:dyDescent="0.4">
      <c r="A45" s="286"/>
      <c r="B45" s="286"/>
      <c r="C45" s="286"/>
      <c r="D45" s="286"/>
      <c r="E45" s="286"/>
      <c r="F45" s="28">
        <f>F43+F44</f>
        <v>6722811.6398283998</v>
      </c>
    </row>
    <row r="46" spans="1:6" x14ac:dyDescent="0.35">
      <c r="F46" s="176">
        <f>F45/F3</f>
        <v>231821.09102856551</v>
      </c>
    </row>
  </sheetData>
  <mergeCells count="9">
    <mergeCell ref="A45:E45"/>
    <mergeCell ref="A41:E41"/>
    <mergeCell ref="A42:E42"/>
    <mergeCell ref="A34:E34"/>
    <mergeCell ref="A1:F1"/>
    <mergeCell ref="A20:E20"/>
    <mergeCell ref="A27:E27"/>
    <mergeCell ref="A43:E43"/>
    <mergeCell ref="A44:E44"/>
  </mergeCells>
  <dataValidations count="4">
    <dataValidation type="list" allowBlank="1" showInputMessage="1" promptTitle="Seleccione un equipo" prompt="Elija de la lista o escriba un elemento nuevo si no aparece." sqref="A86:A165" xr:uid="{FF5E4E3C-5F6C-4016-A5B1-58FCE0DAB0E5}">
      <formula1>"TablaEquipos"</formula1>
    </dataValidation>
    <dataValidation type="list" allowBlank="1" showInputMessage="1" promptTitle="Seleccione un equipo" prompt="Elija de la lista o escriba un elemento nuevo si no aparece." sqref="A3 A4 A5 A6 A7 A8 A9 A10 A11 A12 A13 A14 A15 A16 A17 A18 A19 A20" xr:uid="{58DF7D16-325B-4A7C-8494-568D269431E8}">
      <formula1>ListaEquipos</formula1>
    </dataValidation>
    <dataValidation type="list" allowBlank="1" showInputMessage="1" promptTitle="Seleccione un equipo" prompt="Elija de la lista o escriba un elemento nuevo si no aparece." sqref="A36 A37 A38 A39" xr:uid="{D7DA2B7C-2353-40FA-870E-A4C29DD602CB}">
      <formula1>ListaTransporte</formula1>
    </dataValidation>
    <dataValidation type="list" allowBlank="1" showInputMessage="1" promptTitle="Seleccione un material" prompt="Elija de la lista o escriba un elemento nuevo si no aparece." sqref="A22:A27" xr:uid="{C5F9B484-DB97-4FC8-8B8F-24764475A6EB}">
      <formula1>ListaMateriales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FAB271CC-D107-4EA0-8B06-6B62F155614A}">
          <x14:formula1>
            <xm:f>'D:\RFC SAS 2026\COTIZACIONES 2026\[COT-105-2026  r.nuñez adecuacion punto de control odc caucasia.xlsx]herramientas mat transp y mano'!#REF!</xm:f>
          </x14:formula1>
          <xm:sqref>A40:A85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ED83-6ADE-490B-9DDF-2A890EB8E029}">
  <sheetPr>
    <tabColor rgb="FF00B050"/>
  </sheetPr>
  <dimension ref="A1:F41"/>
  <sheetViews>
    <sheetView topLeftCell="A22" workbookViewId="0">
      <selection activeCell="C35" sqref="C35"/>
    </sheetView>
  </sheetViews>
  <sheetFormatPr baseColWidth="10" defaultRowHeight="14.5" x14ac:dyDescent="0.35"/>
  <cols>
    <col min="1" max="1" width="23.1796875" bestFit="1" customWidth="1"/>
    <col min="2" max="2" width="5.36328125" bestFit="1" customWidth="1"/>
    <col min="3" max="3" width="10.54296875" bestFit="1" customWidth="1"/>
    <col min="4" max="4" width="12" customWidth="1"/>
    <col min="5" max="5" width="12.36328125" bestFit="1" customWidth="1"/>
    <col min="6" max="6" width="13.6328125" bestFit="1" customWidth="1"/>
  </cols>
  <sheetData>
    <row r="1" spans="1:6" x14ac:dyDescent="0.35">
      <c r="A1" s="306" t="s">
        <v>176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820</v>
      </c>
    </row>
    <row r="4" spans="1:6" x14ac:dyDescent="0.35">
      <c r="A4" s="26" t="s">
        <v>382</v>
      </c>
      <c r="B4" s="22">
        <v>4</v>
      </c>
      <c r="C4" s="23">
        <v>23.4</v>
      </c>
      <c r="D4" s="24">
        <f>IFERROR(VLOOKUP(A4,[1]!TablaEquipos[#Data],2,FALSE),0)</f>
        <v>700</v>
      </c>
      <c r="E4" s="25">
        <f t="shared" ref="E4:E15" si="0">B4*C4*D4</f>
        <v>65519.999999999993</v>
      </c>
      <c r="F4" s="62"/>
    </row>
    <row r="5" spans="1:6" x14ac:dyDescent="0.35">
      <c r="A5" s="26" t="s">
        <v>251</v>
      </c>
      <c r="B5" s="22">
        <v>1</v>
      </c>
      <c r="C5" s="23">
        <v>23.4</v>
      </c>
      <c r="D5" s="24">
        <f>IFERROR(VLOOKUP(A5,[1]!TablaEquipos[#Data],2,FALSE),0)</f>
        <v>700</v>
      </c>
      <c r="E5" s="25">
        <f>B5*C5*D5</f>
        <v>16379.999999999998</v>
      </c>
      <c r="F5" s="62"/>
    </row>
    <row r="6" spans="1:6" x14ac:dyDescent="0.35">
      <c r="A6" s="26" t="s">
        <v>252</v>
      </c>
      <c r="B6" s="22">
        <v>4</v>
      </c>
      <c r="C6" s="23">
        <v>23.4</v>
      </c>
      <c r="D6" s="24">
        <f>IFERROR(VLOOKUP(A6,[1]!TablaEquipos[#Data],2,FALSE),0)</f>
        <v>700</v>
      </c>
      <c r="E6" s="25">
        <f>B6*C6*D6</f>
        <v>65519.999999999993</v>
      </c>
      <c r="F6" s="62"/>
    </row>
    <row r="7" spans="1:6" x14ac:dyDescent="0.35">
      <c r="A7" s="26" t="s">
        <v>231</v>
      </c>
      <c r="B7" s="22">
        <v>1</v>
      </c>
      <c r="C7" s="23">
        <v>23.4</v>
      </c>
      <c r="D7" s="24">
        <f>IFERROR(VLOOKUP(A7,[1]!TablaEquipos[#Data],2,FALSE),0)</f>
        <v>1500</v>
      </c>
      <c r="E7" s="25">
        <f t="shared" si="0"/>
        <v>35100</v>
      </c>
      <c r="F7" s="62"/>
    </row>
    <row r="8" spans="1:6" x14ac:dyDescent="0.35">
      <c r="A8" s="24" t="s">
        <v>228</v>
      </c>
      <c r="B8" s="22">
        <v>1</v>
      </c>
      <c r="C8" s="23">
        <v>23.4</v>
      </c>
      <c r="D8" s="24">
        <f>IFERROR(VLOOKUP(A8,[1]!TablaEquipos[#Data],2,FALSE),0)</f>
        <v>1500</v>
      </c>
      <c r="E8" s="25">
        <f t="shared" si="0"/>
        <v>35100</v>
      </c>
      <c r="F8" s="62"/>
    </row>
    <row r="9" spans="1:6" x14ac:dyDescent="0.35">
      <c r="A9" s="24" t="s">
        <v>224</v>
      </c>
      <c r="B9" s="22">
        <v>1</v>
      </c>
      <c r="C9" s="23">
        <v>23.4</v>
      </c>
      <c r="D9" s="24">
        <f>IFERROR(VLOOKUP(A9,[1]!TablaEquipos[#Data],2,FALSE),0)</f>
        <v>1500</v>
      </c>
      <c r="E9" s="25">
        <f t="shared" si="0"/>
        <v>35100</v>
      </c>
      <c r="F9" s="62"/>
    </row>
    <row r="10" spans="1:6" x14ac:dyDescent="0.35">
      <c r="A10" s="26" t="s">
        <v>230</v>
      </c>
      <c r="B10" s="22">
        <v>1</v>
      </c>
      <c r="C10" s="23">
        <v>2</v>
      </c>
      <c r="D10" s="24">
        <f>IFERROR(VLOOKUP(A10,[1]!TablaEquipos[#Data],2,FALSE),0)</f>
        <v>15000</v>
      </c>
      <c r="E10" s="25">
        <f t="shared" si="0"/>
        <v>30000</v>
      </c>
      <c r="F10" s="62"/>
    </row>
    <row r="11" spans="1:6" x14ac:dyDescent="0.35">
      <c r="A11" s="24" t="s">
        <v>229</v>
      </c>
      <c r="B11" s="22">
        <v>3</v>
      </c>
      <c r="C11" s="23">
        <v>23.4</v>
      </c>
      <c r="D11" s="24">
        <f>IFERROR(VLOOKUP(A11,[1]!TablaEquipos[#Data],2,FALSE),0)</f>
        <v>1500</v>
      </c>
      <c r="E11" s="25">
        <f t="shared" si="0"/>
        <v>105299.99999999999</v>
      </c>
      <c r="F11" s="62"/>
    </row>
    <row r="12" spans="1:6" ht="31" x14ac:dyDescent="0.35">
      <c r="A12" s="122" t="s">
        <v>323</v>
      </c>
      <c r="B12" s="22">
        <v>1</v>
      </c>
      <c r="C12" s="23">
        <v>23.4</v>
      </c>
      <c r="D12" s="24">
        <f>IFERROR(VLOOKUP(A12,[1]!TablaEquipos[#Data],2,FALSE),0)</f>
        <v>4000</v>
      </c>
      <c r="E12" s="25">
        <f>B12*C12*D12</f>
        <v>93600</v>
      </c>
      <c r="F12" s="62"/>
    </row>
    <row r="13" spans="1:6" ht="31" x14ac:dyDescent="0.35">
      <c r="A13" s="122" t="s">
        <v>322</v>
      </c>
      <c r="B13" s="22">
        <v>1</v>
      </c>
      <c r="C13" s="23">
        <v>23.4</v>
      </c>
      <c r="D13" s="24">
        <f>IFERROR(VLOOKUP(A13,[1]!TablaEquipos[#Data],2,FALSE),0)</f>
        <v>3000</v>
      </c>
      <c r="E13" s="25">
        <f>B13*C13*D13</f>
        <v>70200</v>
      </c>
      <c r="F13" s="62"/>
    </row>
    <row r="14" spans="1:6" x14ac:dyDescent="0.35">
      <c r="A14" s="24" t="s">
        <v>346</v>
      </c>
      <c r="B14" s="22">
        <v>2</v>
      </c>
      <c r="C14" s="23">
        <v>23.4</v>
      </c>
      <c r="D14" s="24">
        <f>IFERROR(VLOOKUP(A14,[1]!TablaEquipos[#Data],2,FALSE),0)</f>
        <v>1750</v>
      </c>
      <c r="E14" s="25">
        <f t="shared" si="0"/>
        <v>81900</v>
      </c>
      <c r="F14" s="62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>
        <f t="shared" si="0"/>
        <v>0</v>
      </c>
      <c r="F15" s="62"/>
    </row>
    <row r="16" spans="1:6" ht="15" thickBot="1" x14ac:dyDescent="0.4">
      <c r="A16" s="294"/>
      <c r="B16" s="295"/>
      <c r="C16" s="295"/>
      <c r="D16" s="295"/>
      <c r="E16" s="295"/>
      <c r="F16" s="84">
        <f>SUM(E4:E15)</f>
        <v>633720</v>
      </c>
    </row>
    <row r="17" spans="1:6" x14ac:dyDescent="0.35">
      <c r="A17" s="33" t="s">
        <v>270</v>
      </c>
      <c r="B17" s="34" t="s">
        <v>83</v>
      </c>
      <c r="C17" s="45" t="s">
        <v>84</v>
      </c>
      <c r="D17" s="46" t="s">
        <v>269</v>
      </c>
      <c r="E17" s="37" t="s">
        <v>86</v>
      </c>
      <c r="F17" s="168"/>
    </row>
    <row r="18" spans="1:6" x14ac:dyDescent="0.35">
      <c r="A18" s="30" t="s">
        <v>254</v>
      </c>
      <c r="B18" s="22">
        <v>25</v>
      </c>
      <c r="C18" s="29"/>
      <c r="D18" s="27">
        <f>IFERROR(VLOOKUP(A18,[1]!TablaMateriales[#Data],2,FALSE),0)</f>
        <v>20000</v>
      </c>
      <c r="E18" s="25">
        <f>B18*D18</f>
        <v>500000</v>
      </c>
      <c r="F18" s="155"/>
    </row>
    <row r="19" spans="1:6" x14ac:dyDescent="0.35">
      <c r="A19" s="31" t="s">
        <v>383</v>
      </c>
      <c r="B19" s="78">
        <v>80</v>
      </c>
      <c r="C19" s="23"/>
      <c r="D19" s="27">
        <v>3200</v>
      </c>
      <c r="E19" s="25">
        <f>B19*D19</f>
        <v>256000</v>
      </c>
      <c r="F19" s="173"/>
    </row>
    <row r="20" spans="1:6" x14ac:dyDescent="0.35">
      <c r="A20" s="31"/>
      <c r="B20" s="78"/>
      <c r="C20" s="23"/>
      <c r="D20" s="27">
        <f>IFERROR(VLOOKUP(A20,[1]!TablaMateriales[#Data],2,FALSE),0)</f>
        <v>0</v>
      </c>
      <c r="E20" s="27"/>
      <c r="F20" s="173"/>
    </row>
    <row r="21" spans="1:6" x14ac:dyDescent="0.35">
      <c r="A21" s="31"/>
      <c r="B21" s="78"/>
      <c r="C21" s="23"/>
      <c r="D21" s="27">
        <f>IFERROR(VLOOKUP(A21,[1]!TablaMateriales[#Data],2,FALSE),0)</f>
        <v>0</v>
      </c>
      <c r="E21" s="27"/>
      <c r="F21" s="173"/>
    </row>
    <row r="22" spans="1:6" ht="15" thickBot="1" x14ac:dyDescent="0.4">
      <c r="A22" s="31"/>
      <c r="B22" s="78"/>
      <c r="C22" s="23"/>
      <c r="D22" s="27">
        <f>IFERROR(VLOOKUP(A22,[1]!TablaMateriales[#Data],2,FALSE),0)</f>
        <v>0</v>
      </c>
      <c r="E22" s="27"/>
      <c r="F22" s="173"/>
    </row>
    <row r="23" spans="1:6" ht="15" thickBot="1" x14ac:dyDescent="0.4">
      <c r="A23" s="296"/>
      <c r="B23" s="297"/>
      <c r="C23" s="297"/>
      <c r="D23" s="297"/>
      <c r="E23" s="298"/>
      <c r="F23" s="28">
        <f>SUM(E18:E22)</f>
        <v>756000</v>
      </c>
    </row>
    <row r="24" spans="1:6" x14ac:dyDescent="0.35">
      <c r="A24" s="33" t="s">
        <v>88</v>
      </c>
      <c r="B24" s="34" t="s">
        <v>83</v>
      </c>
      <c r="C24" s="35" t="s">
        <v>84</v>
      </c>
      <c r="D24" s="36" t="s">
        <v>89</v>
      </c>
      <c r="E24" s="37" t="s">
        <v>86</v>
      </c>
      <c r="F24" s="168"/>
    </row>
    <row r="25" spans="1:6" x14ac:dyDescent="0.35">
      <c r="A25" s="38" t="s">
        <v>272</v>
      </c>
      <c r="B25" s="34">
        <v>1</v>
      </c>
      <c r="C25" s="35">
        <v>13</v>
      </c>
      <c r="D25" s="39">
        <f>'tabla salarial'!AS4</f>
        <v>555393.74067333317</v>
      </c>
      <c r="E25" s="37">
        <f t="shared" ref="E25:E30" si="1">B25*C25*D25</f>
        <v>7220118.6287533315</v>
      </c>
      <c r="F25" s="155"/>
    </row>
    <row r="26" spans="1:6" x14ac:dyDescent="0.35">
      <c r="A26" s="107" t="s">
        <v>273</v>
      </c>
      <c r="B26" s="20">
        <v>1</v>
      </c>
      <c r="C26" s="40">
        <v>13</v>
      </c>
      <c r="D26" s="39">
        <f>'tabla salarial'!AS4</f>
        <v>555393.74067333317</v>
      </c>
      <c r="E26" s="21">
        <f t="shared" si="1"/>
        <v>7220118.6287533315</v>
      </c>
      <c r="F26" s="155"/>
    </row>
    <row r="27" spans="1:6" x14ac:dyDescent="0.35">
      <c r="A27" s="107" t="s">
        <v>378</v>
      </c>
      <c r="B27" s="20">
        <v>1</v>
      </c>
      <c r="C27" s="35">
        <v>38</v>
      </c>
      <c r="D27" s="39">
        <f>'tabla salarial'!AS5</f>
        <v>443956.94156000001</v>
      </c>
      <c r="E27" s="21">
        <f t="shared" si="1"/>
        <v>16870363.779279999</v>
      </c>
      <c r="F27" s="155"/>
    </row>
    <row r="28" spans="1:6" x14ac:dyDescent="0.35">
      <c r="A28" s="107" t="s">
        <v>223</v>
      </c>
      <c r="B28" s="20">
        <v>1</v>
      </c>
      <c r="C28" s="35">
        <v>13</v>
      </c>
      <c r="D28" s="39">
        <f>'tabla salarial'!AS8</f>
        <v>355821.87609999999</v>
      </c>
      <c r="E28" s="21">
        <f t="shared" si="1"/>
        <v>4625684.3892999999</v>
      </c>
      <c r="F28" s="155"/>
    </row>
    <row r="29" spans="1:6" x14ac:dyDescent="0.35">
      <c r="A29" s="107" t="s">
        <v>274</v>
      </c>
      <c r="B29" s="20">
        <v>1</v>
      </c>
      <c r="C29" s="35">
        <v>38</v>
      </c>
      <c r="D29" s="39">
        <f>'tabla salarial'!AS7</f>
        <v>371571.3297066667</v>
      </c>
      <c r="E29" s="21">
        <f t="shared" si="1"/>
        <v>14119710.528853334</v>
      </c>
      <c r="F29" s="155"/>
    </row>
    <row r="30" spans="1:6" x14ac:dyDescent="0.35">
      <c r="A30" s="107" t="s">
        <v>275</v>
      </c>
      <c r="B30" s="20">
        <v>4</v>
      </c>
      <c r="C30" s="40">
        <v>38</v>
      </c>
      <c r="D30" s="39">
        <f>'tabla salarial'!AS9</f>
        <v>382109.06042666658</v>
      </c>
      <c r="E30" s="21">
        <f t="shared" si="1"/>
        <v>58080577.184853323</v>
      </c>
      <c r="F30" s="155"/>
    </row>
    <row r="31" spans="1:6" x14ac:dyDescent="0.35">
      <c r="A31" s="287">
        <v>3</v>
      </c>
      <c r="B31" s="287"/>
      <c r="C31" s="287"/>
      <c r="D31" s="287"/>
      <c r="E31" s="287"/>
      <c r="F31" s="42">
        <f>SUM(E25:E30)</f>
        <v>108136573.13979332</v>
      </c>
    </row>
    <row r="32" spans="1:6" x14ac:dyDescent="0.35">
      <c r="A32" s="33" t="s">
        <v>279</v>
      </c>
      <c r="B32" s="34" t="s">
        <v>83</v>
      </c>
      <c r="C32" s="35" t="s">
        <v>84</v>
      </c>
      <c r="D32" s="36" t="s">
        <v>269</v>
      </c>
      <c r="E32" s="37" t="s">
        <v>86</v>
      </c>
      <c r="F32" s="170"/>
    </row>
    <row r="33" spans="1:6" x14ac:dyDescent="0.35">
      <c r="A33" s="108" t="s">
        <v>246</v>
      </c>
      <c r="B33" s="108">
        <v>1</v>
      </c>
      <c r="C33" s="62">
        <v>23.4</v>
      </c>
      <c r="D33" s="108">
        <f>IFERROR(VLOOKUP(A33,[1]!TablaTransporte[#Data],2,FALSE),0)</f>
        <v>322000</v>
      </c>
      <c r="E33" s="108">
        <f>B33*C33*D33</f>
        <v>7534800</v>
      </c>
      <c r="F33" s="171"/>
    </row>
    <row r="34" spans="1:6" x14ac:dyDescent="0.35">
      <c r="A34" s="108" t="s">
        <v>297</v>
      </c>
      <c r="B34" s="108">
        <v>1</v>
      </c>
      <c r="C34" s="108">
        <v>2</v>
      </c>
      <c r="D34" s="108">
        <f>IFERROR(VLOOKUP(A34,[1]!TablaTransporte[#Data],2,FALSE),0)</f>
        <v>4500000</v>
      </c>
      <c r="E34" s="108">
        <f>B34*C34*D34</f>
        <v>9000000</v>
      </c>
      <c r="F34" s="172"/>
    </row>
    <row r="35" spans="1:6" x14ac:dyDescent="0.35">
      <c r="A35" s="108" t="s">
        <v>381</v>
      </c>
      <c r="B35" s="108">
        <v>1</v>
      </c>
      <c r="C35" s="108">
        <v>24</v>
      </c>
      <c r="D35" s="108">
        <f>IFERROR(VLOOKUP(A35,[1]!TablaTransporte[#Data],2,FALSE),0)</f>
        <v>600000</v>
      </c>
      <c r="E35" s="108">
        <f>B35*C35*D35</f>
        <v>14400000</v>
      </c>
      <c r="F35" s="42">
        <f>SUM(E33:E34)</f>
        <v>16534800</v>
      </c>
    </row>
    <row r="36" spans="1:6" x14ac:dyDescent="0.35">
      <c r="A36" s="288"/>
      <c r="B36" s="289"/>
      <c r="C36" s="289"/>
      <c r="D36" s="289"/>
      <c r="E36" s="290"/>
      <c r="F36" s="42">
        <f>F16+F23+F31+F35</f>
        <v>126061093.13979332</v>
      </c>
    </row>
    <row r="37" spans="1:6" ht="15" thickBot="1" x14ac:dyDescent="0.4">
      <c r="A37" s="291"/>
      <c r="B37" s="292"/>
      <c r="C37" s="292"/>
      <c r="D37" s="292"/>
      <c r="E37" s="293"/>
      <c r="F37" s="44">
        <f>F36*A37</f>
        <v>0</v>
      </c>
    </row>
    <row r="38" spans="1:6" ht="15" thickBot="1" x14ac:dyDescent="0.4">
      <c r="A38" s="299"/>
      <c r="B38" s="300"/>
      <c r="C38" s="300"/>
      <c r="D38" s="300"/>
      <c r="E38" s="301"/>
      <c r="F38" s="28">
        <f>F36+F37</f>
        <v>126061093.13979332</v>
      </c>
    </row>
    <row r="39" spans="1:6" ht="15" thickBot="1" x14ac:dyDescent="0.4">
      <c r="A39" s="302"/>
      <c r="B39" s="300"/>
      <c r="C39" s="300"/>
      <c r="D39" s="300"/>
      <c r="E39" s="301"/>
      <c r="F39" s="28">
        <f>F38*A39</f>
        <v>0</v>
      </c>
    </row>
    <row r="40" spans="1:6" ht="15" thickBot="1" x14ac:dyDescent="0.4">
      <c r="A40" s="286"/>
      <c r="B40" s="286"/>
      <c r="C40" s="286"/>
      <c r="D40" s="286"/>
      <c r="E40" s="286"/>
      <c r="F40" s="28">
        <f>F38+F39</f>
        <v>126061093.13979332</v>
      </c>
    </row>
    <row r="41" spans="1:6" x14ac:dyDescent="0.35">
      <c r="F41" s="176">
        <f>F40/F3</f>
        <v>153733.04041438209</v>
      </c>
    </row>
  </sheetData>
  <mergeCells count="9">
    <mergeCell ref="A40:E40"/>
    <mergeCell ref="A36:E36"/>
    <mergeCell ref="A37:E37"/>
    <mergeCell ref="A31:E31"/>
    <mergeCell ref="A1:F1"/>
    <mergeCell ref="A16:E16"/>
    <mergeCell ref="A23:E23"/>
    <mergeCell ref="A38:E38"/>
    <mergeCell ref="A39:E39"/>
  </mergeCells>
  <dataValidations count="4">
    <dataValidation type="list" allowBlank="1" showInputMessage="1" promptTitle="Seleccione un equipo" prompt="Elija de la lista o escriba un elemento nuevo si no aparece." sqref="A90:A169" xr:uid="{1E8D15D5-C8EA-417C-BA45-4B4985BD8654}">
      <formula1>"TablaEquipos"</formula1>
    </dataValidation>
    <dataValidation type="list" allowBlank="1" showInputMessage="1" promptTitle="Seleccione un equipo" prompt="Elija de la lista o escriba un elemento nuevo si no aparece." sqref="A3 A4 A5 A6 A7 A8 A9 A10 A11 A12 A13 A14 A15 A16" xr:uid="{FDCF7223-9264-4896-B6E9-80A9B4EEDE3D}">
      <formula1>ListaEquipos</formula1>
    </dataValidation>
    <dataValidation type="list" allowBlank="1" showInputMessage="1" promptTitle="Seleccione un equipo" prompt="Elija de la lista o escriba un elemento nuevo si no aparece." sqref="A33 A34 A35" xr:uid="{58D5207C-23D5-4E6B-A987-9AF2D9CE2CFC}">
      <formula1>ListaTransporte</formula1>
    </dataValidation>
    <dataValidation type="list" allowBlank="1" showInputMessage="1" promptTitle="Seleccione un material" prompt="Elija de la lista o escriba un elemento nuevo si no aparece." sqref="A18:A23" xr:uid="{0E668100-64A5-47CD-A378-F1210F6B7819}">
      <formula1>ListaMateriales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eleccione un equipo" prompt="Elija de la lista o escriba un elemento nuevo si no aparece." xr:uid="{4FBD5CC4-96D1-4F22-92D3-95E7C09D9A4B}">
          <x14:formula1>
            <xm:f>'D:\RFC SAS 2026\COTIZACIONES 2026\[COT-105-2026  r.nuñez adecuacion punto de control odc caucasia.xlsx]herramientas mat transp y mano'!#REF!</xm:f>
          </x14:formula1>
          <xm:sqref>A36:A89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CDD1-41A6-4C81-BA0A-6A7805A5B1DF}">
  <sheetPr>
    <tabColor rgb="FF00B050"/>
  </sheetPr>
  <dimension ref="A1:H56"/>
  <sheetViews>
    <sheetView workbookViewId="0">
      <selection activeCell="F56" sqref="A1:F56"/>
    </sheetView>
  </sheetViews>
  <sheetFormatPr baseColWidth="10" defaultRowHeight="14.5" x14ac:dyDescent="0.35"/>
  <cols>
    <col min="1" max="1" width="23.1796875" bestFit="1" customWidth="1"/>
    <col min="2" max="2" width="5.36328125" bestFit="1" customWidth="1"/>
    <col min="3" max="3" width="9.6328125" bestFit="1" customWidth="1"/>
    <col min="4" max="4" width="10.54296875" bestFit="1" customWidth="1"/>
    <col min="5" max="5" width="11.453125" bestFit="1" customWidth="1"/>
    <col min="6" max="6" width="13.6328125" bestFit="1" customWidth="1"/>
  </cols>
  <sheetData>
    <row r="1" spans="1:6" x14ac:dyDescent="0.35">
      <c r="A1" s="306" t="s">
        <v>177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52</v>
      </c>
    </row>
    <row r="4" spans="1:6" x14ac:dyDescent="0.35">
      <c r="A4" s="26" t="s">
        <v>227</v>
      </c>
      <c r="B4" s="22">
        <v>4</v>
      </c>
      <c r="C4" s="23">
        <v>32</v>
      </c>
      <c r="D4" s="24">
        <f>IFERROR(VLOOKUP(A4,[1]!TablaEquipos[#Data],2,FALSE),0)</f>
        <v>700</v>
      </c>
      <c r="E4" s="25">
        <f t="shared" ref="E4:E12" si="0">B4*C4*D4</f>
        <v>89600</v>
      </c>
      <c r="F4" s="62"/>
    </row>
    <row r="5" spans="1:6" x14ac:dyDescent="0.35">
      <c r="A5" s="24" t="s">
        <v>228</v>
      </c>
      <c r="B5" s="22">
        <v>4</v>
      </c>
      <c r="C5" s="23">
        <v>32</v>
      </c>
      <c r="D5" s="24">
        <f>IFERROR(VLOOKUP(A5,[1]!TablaEquipos[#Data],2,FALSE),0)</f>
        <v>1500</v>
      </c>
      <c r="E5" s="25">
        <f t="shared" si="0"/>
        <v>192000</v>
      </c>
      <c r="F5" s="62"/>
    </row>
    <row r="6" spans="1:6" x14ac:dyDescent="0.35">
      <c r="A6" s="24" t="s">
        <v>224</v>
      </c>
      <c r="B6" s="22">
        <v>1</v>
      </c>
      <c r="C6" s="23">
        <v>32</v>
      </c>
      <c r="D6" s="24">
        <f>IFERROR(VLOOKUP(A6,[1]!TablaEquipos[#Data],2,FALSE),0)</f>
        <v>1500</v>
      </c>
      <c r="E6" s="25">
        <f t="shared" si="0"/>
        <v>48000</v>
      </c>
      <c r="F6" s="62"/>
    </row>
    <row r="7" spans="1:6" x14ac:dyDescent="0.35">
      <c r="A7" s="24" t="s">
        <v>229</v>
      </c>
      <c r="B7" s="22">
        <v>6</v>
      </c>
      <c r="C7" s="23">
        <v>32</v>
      </c>
      <c r="D7" s="24">
        <f>IFERROR(VLOOKUP(A7,[1]!TablaEquipos[#Data],2,FALSE),0)</f>
        <v>1500</v>
      </c>
      <c r="E7" s="25">
        <f t="shared" si="0"/>
        <v>288000</v>
      </c>
      <c r="F7" s="62"/>
    </row>
    <row r="8" spans="1:6" ht="23" x14ac:dyDescent="0.35">
      <c r="A8" s="26" t="s">
        <v>247</v>
      </c>
      <c r="B8" s="22">
        <v>3</v>
      </c>
      <c r="C8" s="23">
        <v>32</v>
      </c>
      <c r="D8" s="24">
        <f>IFERROR(VLOOKUP(A8,[1]!TablaEquipos[#Data],2,FALSE),0)</f>
        <v>80000</v>
      </c>
      <c r="E8" s="25">
        <f t="shared" si="0"/>
        <v>7680000</v>
      </c>
      <c r="F8" s="62"/>
    </row>
    <row r="9" spans="1:6" x14ac:dyDescent="0.35">
      <c r="A9" s="26" t="s">
        <v>342</v>
      </c>
      <c r="B9" s="22">
        <v>1</v>
      </c>
      <c r="C9" s="23">
        <v>32</v>
      </c>
      <c r="D9" s="24">
        <f>IFERROR(VLOOKUP(A9,[1]!TablaEquipos[#Data],2,FALSE),0)</f>
        <v>15000</v>
      </c>
      <c r="E9" s="25">
        <f t="shared" si="0"/>
        <v>480000</v>
      </c>
      <c r="F9" s="62"/>
    </row>
    <row r="10" spans="1:6" x14ac:dyDescent="0.35">
      <c r="A10" s="26" t="s">
        <v>393</v>
      </c>
      <c r="B10" s="22">
        <v>3</v>
      </c>
      <c r="C10" s="23">
        <v>32</v>
      </c>
      <c r="D10" s="24">
        <f>IFERROR(VLOOKUP(A10,[1]!TablaEquipos[#Data],2,FALSE),0)</f>
        <v>15000</v>
      </c>
      <c r="E10" s="25">
        <f t="shared" si="0"/>
        <v>1440000</v>
      </c>
      <c r="F10" s="62"/>
    </row>
    <row r="11" spans="1:6" x14ac:dyDescent="0.35">
      <c r="A11" s="26" t="s">
        <v>344</v>
      </c>
      <c r="B11" s="22">
        <v>1</v>
      </c>
      <c r="C11" s="23">
        <v>32</v>
      </c>
      <c r="D11" s="24">
        <f>IFERROR(VLOOKUP(A11,[1]!TablaEquipos[#Data],2,FALSE),0)</f>
        <v>40000</v>
      </c>
      <c r="E11" s="25">
        <f t="shared" si="0"/>
        <v>1280000</v>
      </c>
      <c r="F11" s="62"/>
    </row>
    <row r="12" spans="1:6" ht="15.5" x14ac:dyDescent="0.35">
      <c r="A12" s="122" t="s">
        <v>396</v>
      </c>
      <c r="B12" s="22">
        <v>1</v>
      </c>
      <c r="C12" s="23">
        <v>32</v>
      </c>
      <c r="D12" s="24">
        <v>60000</v>
      </c>
      <c r="E12" s="25">
        <f t="shared" si="0"/>
        <v>1920000</v>
      </c>
      <c r="F12" s="62"/>
    </row>
    <row r="13" spans="1:6" ht="15.5" x14ac:dyDescent="0.35">
      <c r="A13" s="122"/>
      <c r="B13" s="22"/>
      <c r="C13" s="23"/>
      <c r="D13" s="24"/>
      <c r="E13" s="25"/>
      <c r="F13" s="62"/>
    </row>
    <row r="14" spans="1:6" ht="15.5" x14ac:dyDescent="0.35">
      <c r="A14" s="122"/>
      <c r="B14" s="22"/>
      <c r="C14" s="23"/>
      <c r="D14" s="24"/>
      <c r="E14" s="25"/>
      <c r="F14" s="62"/>
    </row>
    <row r="15" spans="1:6" ht="15.5" x14ac:dyDescent="0.35">
      <c r="A15" s="122"/>
      <c r="B15" s="22"/>
      <c r="C15" s="23"/>
      <c r="D15" s="24"/>
      <c r="E15" s="25"/>
      <c r="F15" s="62"/>
    </row>
    <row r="16" spans="1:6" ht="15.5" x14ac:dyDescent="0.35">
      <c r="A16" s="122"/>
      <c r="B16" s="22"/>
      <c r="C16" s="23"/>
      <c r="D16" s="24"/>
      <c r="E16" s="25"/>
      <c r="F16" s="62"/>
    </row>
    <row r="17" spans="1:8" ht="15.5" x14ac:dyDescent="0.35">
      <c r="A17" s="122"/>
      <c r="B17" s="22"/>
      <c r="C17" s="23"/>
      <c r="D17" s="24"/>
      <c r="E17" s="25"/>
      <c r="F17" s="62"/>
    </row>
    <row r="18" spans="1:8" ht="15.5" x14ac:dyDescent="0.35">
      <c r="A18" s="122"/>
      <c r="B18" s="22"/>
      <c r="C18" s="23"/>
      <c r="D18" s="24"/>
      <c r="E18" s="25"/>
      <c r="F18" s="62"/>
    </row>
    <row r="19" spans="1:8" ht="15" thickBot="1" x14ac:dyDescent="0.4">
      <c r="A19" s="294"/>
      <c r="B19" s="295"/>
      <c r="C19" s="295"/>
      <c r="D19" s="295"/>
      <c r="E19" s="295"/>
      <c r="F19" s="84">
        <f>SUM(E4:E18)</f>
        <v>13417600</v>
      </c>
    </row>
    <row r="20" spans="1:8" x14ac:dyDescent="0.35">
      <c r="A20" s="33" t="s">
        <v>270</v>
      </c>
      <c r="B20" s="34" t="s">
        <v>83</v>
      </c>
      <c r="C20" s="45" t="s">
        <v>84</v>
      </c>
      <c r="D20" s="46" t="s">
        <v>269</v>
      </c>
      <c r="E20" s="37" t="s">
        <v>86</v>
      </c>
      <c r="F20" s="168"/>
    </row>
    <row r="21" spans="1:8" ht="23" x14ac:dyDescent="0.35">
      <c r="A21" s="79" t="s">
        <v>261</v>
      </c>
      <c r="B21" s="85">
        <v>1</v>
      </c>
      <c r="C21" s="23"/>
      <c r="D21" s="27">
        <f>IFERROR(VLOOKUP(A21,[1]!TablaMateriales[#Data],2,FALSE),0)</f>
        <v>55000</v>
      </c>
      <c r="E21" s="25">
        <f t="shared" ref="E21:E34" si="1">B21*D21</f>
        <v>55000</v>
      </c>
      <c r="F21" s="155"/>
      <c r="H21">
        <v>100</v>
      </c>
    </row>
    <row r="22" spans="1:8" x14ac:dyDescent="0.35">
      <c r="A22" s="31" t="s">
        <v>265</v>
      </c>
      <c r="B22" s="78">
        <v>15</v>
      </c>
      <c r="C22" s="23"/>
      <c r="D22" s="27">
        <f>IFERROR(VLOOKUP(A22,[1]!TablaMateriales[#Data],2,FALSE),0)</f>
        <v>65000</v>
      </c>
      <c r="E22" s="27">
        <f t="shared" si="1"/>
        <v>975000</v>
      </c>
      <c r="F22" s="173"/>
    </row>
    <row r="23" spans="1:8" x14ac:dyDescent="0.35">
      <c r="A23" s="31" t="s">
        <v>266</v>
      </c>
      <c r="B23" s="78">
        <v>15</v>
      </c>
      <c r="C23" s="23"/>
      <c r="D23" s="27">
        <f>IFERROR(VLOOKUP(A23,[1]!TablaMateriales[#Data],2,FALSE),0)</f>
        <v>65000</v>
      </c>
      <c r="E23" s="27">
        <f t="shared" si="1"/>
        <v>975000</v>
      </c>
      <c r="F23" s="173"/>
    </row>
    <row r="24" spans="1:8" x14ac:dyDescent="0.35">
      <c r="A24" s="31" t="s">
        <v>267</v>
      </c>
      <c r="B24" s="78">
        <v>1</v>
      </c>
      <c r="C24" s="23"/>
      <c r="D24" s="27">
        <f>IFERROR(VLOOKUP(A24,[1]!TablaMateriales[#Data],2,FALSE),0)</f>
        <v>65000</v>
      </c>
      <c r="E24" s="27">
        <f t="shared" si="1"/>
        <v>65000</v>
      </c>
      <c r="F24" s="173"/>
    </row>
    <row r="25" spans="1:8" x14ac:dyDescent="0.35">
      <c r="A25" s="31" t="s">
        <v>384</v>
      </c>
      <c r="B25" s="78">
        <v>1</v>
      </c>
      <c r="C25" s="23"/>
      <c r="D25" s="27">
        <f>IFERROR(VLOOKUP(A25,[1]!TablaMateriales[#Data],2,FALSE),0)</f>
        <v>85000</v>
      </c>
      <c r="E25" s="27">
        <f t="shared" si="1"/>
        <v>85000</v>
      </c>
      <c r="F25" s="173"/>
    </row>
    <row r="26" spans="1:8" ht="23" x14ac:dyDescent="0.35">
      <c r="A26" s="31" t="s">
        <v>395</v>
      </c>
      <c r="B26" s="78">
        <v>1</v>
      </c>
      <c r="C26" s="23"/>
      <c r="D26" s="27">
        <f>IFERROR(VLOOKUP(A26,[1]!TablaMateriales[#Data],2,FALSE),0)</f>
        <v>455000</v>
      </c>
      <c r="E26" s="27">
        <f t="shared" si="1"/>
        <v>455000</v>
      </c>
      <c r="F26" s="173"/>
    </row>
    <row r="27" spans="1:8" x14ac:dyDescent="0.35">
      <c r="A27" s="31" t="s">
        <v>397</v>
      </c>
      <c r="B27" s="78">
        <v>100</v>
      </c>
      <c r="C27" s="23"/>
      <c r="D27" s="27">
        <f>IFERROR(VLOOKUP(A27,[1]!TablaMateriales[#Data],2,FALSE),0)</f>
        <v>1200</v>
      </c>
      <c r="E27" s="27">
        <f t="shared" ref="E27:E32" si="2">B27*D27</f>
        <v>120000</v>
      </c>
      <c r="F27" s="173"/>
    </row>
    <row r="28" spans="1:8" x14ac:dyDescent="0.35">
      <c r="A28" s="31" t="s">
        <v>399</v>
      </c>
      <c r="B28" s="78">
        <v>8</v>
      </c>
      <c r="C28" s="23"/>
      <c r="D28" s="27">
        <f>IFERROR(VLOOKUP(A28,[1]!TablaMateriales[#Data],2,FALSE),0)</f>
        <v>33200</v>
      </c>
      <c r="E28" s="27">
        <f t="shared" si="2"/>
        <v>265600</v>
      </c>
      <c r="F28" s="173"/>
    </row>
    <row r="29" spans="1:8" ht="23" x14ac:dyDescent="0.35">
      <c r="A29" s="31" t="s">
        <v>400</v>
      </c>
      <c r="B29" s="78">
        <v>8</v>
      </c>
      <c r="C29" s="23"/>
      <c r="D29" s="27">
        <f>IFERROR(VLOOKUP(A29,[1]!TablaMateriales[#Data],2,FALSE),0)</f>
        <v>42000</v>
      </c>
      <c r="E29" s="27">
        <f t="shared" si="2"/>
        <v>336000</v>
      </c>
      <c r="F29" s="173"/>
    </row>
    <row r="30" spans="1:8" ht="23" x14ac:dyDescent="0.35">
      <c r="A30" s="31" t="s">
        <v>398</v>
      </c>
      <c r="B30" s="78">
        <v>7</v>
      </c>
      <c r="C30" s="23"/>
      <c r="D30" s="27">
        <f>IFERROR(VLOOKUP(A30,[1]!TablaMateriales[#Data],2,FALSE),0)</f>
        <v>58000</v>
      </c>
      <c r="E30" s="27">
        <f t="shared" si="2"/>
        <v>406000</v>
      </c>
      <c r="F30" s="173"/>
    </row>
    <row r="31" spans="1:8" ht="34.5" x14ac:dyDescent="0.35">
      <c r="A31" s="31" t="s">
        <v>402</v>
      </c>
      <c r="B31" s="78">
        <v>10</v>
      </c>
      <c r="C31" s="23"/>
      <c r="D31" s="27">
        <f>IFERROR(VLOOKUP(A31,[1]!TablaMateriales[#Data],2,FALSE),0)</f>
        <v>62000</v>
      </c>
      <c r="E31" s="27">
        <f t="shared" si="2"/>
        <v>620000</v>
      </c>
      <c r="F31" s="173"/>
    </row>
    <row r="32" spans="1:8" ht="23" x14ac:dyDescent="0.35">
      <c r="A32" s="31" t="s">
        <v>401</v>
      </c>
      <c r="B32" s="78">
        <v>20</v>
      </c>
      <c r="C32" s="23"/>
      <c r="D32" s="27">
        <f>IFERROR(VLOOKUP(A32,[1]!TablaMateriales[#Data],2,FALSE),0)</f>
        <v>11500</v>
      </c>
      <c r="E32" s="27">
        <f t="shared" si="2"/>
        <v>230000</v>
      </c>
      <c r="F32" s="173"/>
    </row>
    <row r="33" spans="1:6" x14ac:dyDescent="0.35">
      <c r="A33" s="31" t="s">
        <v>394</v>
      </c>
      <c r="B33" s="78">
        <v>1</v>
      </c>
      <c r="C33" s="23"/>
      <c r="D33" s="27">
        <f>IFERROR(VLOOKUP(A33,[1]!TablaMateriales[#Data],2,FALSE),0)</f>
        <v>1185900</v>
      </c>
      <c r="E33" s="27">
        <f t="shared" si="1"/>
        <v>1185900</v>
      </c>
      <c r="F33" s="173"/>
    </row>
    <row r="34" spans="1:6" ht="15" thickBot="1" x14ac:dyDescent="0.4">
      <c r="A34" s="31" t="s">
        <v>385</v>
      </c>
      <c r="B34" s="78">
        <v>10</v>
      </c>
      <c r="C34" s="23"/>
      <c r="D34" s="27">
        <f>IFERROR(VLOOKUP(A34,[1]!TablaMateriales[#Data],2,FALSE),0)</f>
        <v>0</v>
      </c>
      <c r="E34" s="27">
        <f t="shared" si="1"/>
        <v>0</v>
      </c>
      <c r="F34" s="173"/>
    </row>
    <row r="35" spans="1:6" ht="15" thickBot="1" x14ac:dyDescent="0.4">
      <c r="A35" s="296"/>
      <c r="B35" s="297"/>
      <c r="C35" s="297"/>
      <c r="D35" s="297"/>
      <c r="E35" s="298"/>
      <c r="F35" s="28">
        <f>SUM(E21:E34)</f>
        <v>5773500</v>
      </c>
    </row>
    <row r="36" spans="1:6" x14ac:dyDescent="0.35">
      <c r="A36" s="33" t="s">
        <v>88</v>
      </c>
      <c r="B36" s="34" t="s">
        <v>83</v>
      </c>
      <c r="C36" s="35" t="s">
        <v>84</v>
      </c>
      <c r="D36" s="36" t="s">
        <v>89</v>
      </c>
      <c r="E36" s="37" t="s">
        <v>86</v>
      </c>
      <c r="F36" s="168"/>
    </row>
    <row r="37" spans="1:6" x14ac:dyDescent="0.35">
      <c r="A37" s="38" t="s">
        <v>272</v>
      </c>
      <c r="B37" s="34">
        <v>1</v>
      </c>
      <c r="C37" s="35">
        <v>40</v>
      </c>
      <c r="D37" s="39">
        <f>'tabla salarial'!AS4</f>
        <v>555393.74067333317</v>
      </c>
      <c r="E37" s="37">
        <f>B37*C37*D37</f>
        <v>22215749.626933329</v>
      </c>
      <c r="F37" s="155"/>
    </row>
    <row r="38" spans="1:6" x14ac:dyDescent="0.35">
      <c r="A38" s="107" t="s">
        <v>273</v>
      </c>
      <c r="B38" s="20">
        <v>1</v>
      </c>
      <c r="C38" s="40">
        <v>40</v>
      </c>
      <c r="D38" s="39">
        <f>'tabla salarial'!AS4</f>
        <v>555393.74067333317</v>
      </c>
      <c r="E38" s="21">
        <f>B38*C38*D38</f>
        <v>22215749.626933329</v>
      </c>
      <c r="F38" s="155"/>
    </row>
    <row r="39" spans="1:6" x14ac:dyDescent="0.35">
      <c r="A39" s="107" t="s">
        <v>274</v>
      </c>
      <c r="B39" s="20">
        <v>2</v>
      </c>
      <c r="C39" s="35">
        <v>40</v>
      </c>
      <c r="D39" s="39">
        <f>'tabla salarial'!AS7</f>
        <v>371571.3297066667</v>
      </c>
      <c r="E39" s="21">
        <f>B39*C39*D39</f>
        <v>29725706.376533337</v>
      </c>
      <c r="F39" s="155"/>
    </row>
    <row r="40" spans="1:6" x14ac:dyDescent="0.35">
      <c r="A40" s="107" t="s">
        <v>223</v>
      </c>
      <c r="B40" s="20">
        <v>1</v>
      </c>
      <c r="C40" s="35">
        <v>40</v>
      </c>
      <c r="D40" s="39">
        <f>'tabla salarial'!AS8</f>
        <v>355821.87609999999</v>
      </c>
      <c r="E40" s="21">
        <f>B40*C40*D40</f>
        <v>14232875.044</v>
      </c>
      <c r="F40" s="155"/>
    </row>
    <row r="41" spans="1:6" x14ac:dyDescent="0.35">
      <c r="A41" s="107" t="s">
        <v>275</v>
      </c>
      <c r="B41" s="20">
        <v>12</v>
      </c>
      <c r="C41" s="40">
        <v>40</v>
      </c>
      <c r="D41" s="39">
        <f>'tabla salarial'!AS9</f>
        <v>382109.06042666658</v>
      </c>
      <c r="E41" s="21">
        <f>B41*C41*D41</f>
        <v>183412349.00479996</v>
      </c>
      <c r="F41" s="155"/>
    </row>
    <row r="42" spans="1:6" x14ac:dyDescent="0.35">
      <c r="A42" s="287"/>
      <c r="B42" s="287"/>
      <c r="C42" s="287"/>
      <c r="D42" s="287"/>
      <c r="E42" s="311"/>
      <c r="F42" s="121">
        <f>SUM(E37:E41)</f>
        <v>271802429.67919993</v>
      </c>
    </row>
    <row r="43" spans="1:6" x14ac:dyDescent="0.35">
      <c r="A43" s="33" t="s">
        <v>279</v>
      </c>
      <c r="B43" s="34" t="s">
        <v>83</v>
      </c>
      <c r="C43" s="35" t="s">
        <v>84</v>
      </c>
      <c r="D43" s="36" t="s">
        <v>269</v>
      </c>
      <c r="E43" s="37" t="s">
        <v>86</v>
      </c>
      <c r="F43" s="155"/>
    </row>
    <row r="44" spans="1:6" x14ac:dyDescent="0.35">
      <c r="A44" s="108" t="s">
        <v>240</v>
      </c>
      <c r="B44" s="108">
        <v>1</v>
      </c>
      <c r="C44" s="108">
        <v>1</v>
      </c>
      <c r="D44" s="108">
        <f>IFERROR(VLOOKUP(A44,[1]!TablaTransporte[#Data],2,FALSE),0)</f>
        <v>550000</v>
      </c>
      <c r="E44" s="110">
        <f t="shared" ref="E44:E49" si="3">B44*C44*D44</f>
        <v>550000</v>
      </c>
      <c r="F44" s="283"/>
    </row>
    <row r="45" spans="1:6" x14ac:dyDescent="0.35">
      <c r="A45" s="108" t="s">
        <v>241</v>
      </c>
      <c r="B45" s="108"/>
      <c r="C45" s="108"/>
      <c r="D45" s="108">
        <f>IFERROR(VLOOKUP(A45,[1]!TablaTransporte[#Data],2,FALSE),0)</f>
        <v>65000</v>
      </c>
      <c r="E45" s="108">
        <f t="shared" si="3"/>
        <v>0</v>
      </c>
      <c r="F45" s="284"/>
    </row>
    <row r="46" spans="1:6" x14ac:dyDescent="0.35">
      <c r="A46" s="108" t="s">
        <v>299</v>
      </c>
      <c r="B46" s="108">
        <v>1</v>
      </c>
      <c r="C46" s="108">
        <v>1</v>
      </c>
      <c r="D46" s="108">
        <f>IFERROR(VLOOKUP(A46,[1]!TablaTransporte[#Data],2,FALSE),0)</f>
        <v>1330000</v>
      </c>
      <c r="E46" s="108">
        <f t="shared" si="3"/>
        <v>1330000</v>
      </c>
      <c r="F46" s="284"/>
    </row>
    <row r="47" spans="1:6" x14ac:dyDescent="0.35">
      <c r="A47" s="108" t="s">
        <v>245</v>
      </c>
      <c r="B47" s="108"/>
      <c r="C47" s="108"/>
      <c r="D47" s="108">
        <f>IFERROR(VLOOKUP(A47,[1]!TablaTransporte[#Data],2,FALSE),0)</f>
        <v>1350000</v>
      </c>
      <c r="E47" s="108">
        <f t="shared" si="3"/>
        <v>0</v>
      </c>
      <c r="F47" s="284"/>
    </row>
    <row r="48" spans="1:6" x14ac:dyDescent="0.35">
      <c r="A48" s="108" t="s">
        <v>376</v>
      </c>
      <c r="B48" s="108">
        <v>1</v>
      </c>
      <c r="C48" s="108">
        <v>26</v>
      </c>
      <c r="D48" s="108">
        <f>IFERROR(VLOOKUP(A48,[1]!TablaTransporte[#Data],2,FALSE),0)</f>
        <v>0</v>
      </c>
      <c r="E48" s="108">
        <f t="shared" si="3"/>
        <v>0</v>
      </c>
      <c r="F48" s="284"/>
    </row>
    <row r="49" spans="1:6" x14ac:dyDescent="0.35">
      <c r="A49" s="108" t="s">
        <v>297</v>
      </c>
      <c r="B49" s="108">
        <v>1</v>
      </c>
      <c r="C49" s="108">
        <v>4</v>
      </c>
      <c r="D49" s="108">
        <f>IFERROR(VLOOKUP(A49,[1]!TablaTransporte[#Data],2,FALSE),0)</f>
        <v>4500000</v>
      </c>
      <c r="E49" s="108">
        <f t="shared" si="3"/>
        <v>18000000</v>
      </c>
      <c r="F49" s="285"/>
    </row>
    <row r="50" spans="1:6" ht="15" thickBot="1" x14ac:dyDescent="0.4">
      <c r="A50" s="291"/>
      <c r="B50" s="292"/>
      <c r="C50" s="292"/>
      <c r="D50" s="292"/>
      <c r="E50" s="293"/>
      <c r="F50" s="42">
        <f>SUM(E44:E49)</f>
        <v>19880000</v>
      </c>
    </row>
    <row r="51" spans="1:6" ht="15" thickBot="1" x14ac:dyDescent="0.4">
      <c r="A51" s="299"/>
      <c r="B51" s="300"/>
      <c r="C51" s="300"/>
      <c r="D51" s="300"/>
      <c r="E51" s="301"/>
      <c r="F51" s="42">
        <f>F19+F35+F42+F50</f>
        <v>310873529.67919993</v>
      </c>
    </row>
    <row r="52" spans="1:6" ht="15" thickBot="1" x14ac:dyDescent="0.4">
      <c r="A52" s="302"/>
      <c r="B52" s="300"/>
      <c r="C52" s="300"/>
      <c r="D52" s="300"/>
      <c r="E52" s="301"/>
      <c r="F52" s="44">
        <f>F51*A52</f>
        <v>0</v>
      </c>
    </row>
    <row r="53" spans="1:6" ht="15" thickBot="1" x14ac:dyDescent="0.4">
      <c r="A53" s="286"/>
      <c r="B53" s="286"/>
      <c r="C53" s="286"/>
      <c r="D53" s="286"/>
      <c r="E53" s="286"/>
      <c r="F53" s="28">
        <f>F51+F52</f>
        <v>310873529.67919993</v>
      </c>
    </row>
    <row r="54" spans="1:6" ht="15" thickBot="1" x14ac:dyDescent="0.4">
      <c r="A54" s="309"/>
      <c r="B54" s="310"/>
      <c r="C54" s="310"/>
      <c r="D54" s="310"/>
      <c r="E54" s="310"/>
      <c r="F54" s="156">
        <f>F53*A54</f>
        <v>0</v>
      </c>
    </row>
    <row r="55" spans="1:6" ht="15" thickBot="1" x14ac:dyDescent="0.4">
      <c r="F55" s="28">
        <f>F53+F54</f>
        <v>310873529.67919993</v>
      </c>
    </row>
    <row r="56" spans="1:6" x14ac:dyDescent="0.35">
      <c r="F56" s="176">
        <f>F55/F3</f>
        <v>5978337.1092153834</v>
      </c>
    </row>
  </sheetData>
  <mergeCells count="10">
    <mergeCell ref="A54:E54"/>
    <mergeCell ref="A42:E42"/>
    <mergeCell ref="A1:F1"/>
    <mergeCell ref="A19:E19"/>
    <mergeCell ref="A35:E35"/>
    <mergeCell ref="A51:E51"/>
    <mergeCell ref="A52:E52"/>
    <mergeCell ref="A53:E53"/>
    <mergeCell ref="A50:E50"/>
    <mergeCell ref="F44:F49"/>
  </mergeCells>
  <dataValidations count="3">
    <dataValidation type="list" allowBlank="1" showInputMessage="1" showErrorMessage="1" sqref="A45 A46 A47 A48 A49" xr:uid="{1BE1D9F0-D40A-4422-88CD-70CE3AD21E02}">
      <formula1>ListaTransporte</formula1>
    </dataValidation>
    <dataValidation type="list" allowBlank="1" showInputMessage="1" showErrorMessage="1" sqref="A3:A19" xr:uid="{AB4792BE-8A43-4CA0-BEEF-7DB081B7F97C}">
      <formula1>ListaEquipos</formula1>
    </dataValidation>
    <dataValidation type="list" allowBlank="1" showInputMessage="1" showErrorMessage="1" sqref="A21:A35" xr:uid="{02EEBB85-9CF9-42A1-81DD-F914ECC6F9C7}">
      <formula1>ListaMateriales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7AF5-96F1-4121-8EE6-A76E75493078}">
  <sheetPr>
    <tabColor rgb="FF00B050"/>
  </sheetPr>
  <dimension ref="A1:F45"/>
  <sheetViews>
    <sheetView topLeftCell="A19" workbookViewId="0">
      <selection activeCell="D12" sqref="D12"/>
    </sheetView>
  </sheetViews>
  <sheetFormatPr baseColWidth="10" defaultRowHeight="14.5" x14ac:dyDescent="0.35"/>
  <cols>
    <col min="1" max="1" width="23.1796875" bestFit="1" customWidth="1"/>
    <col min="2" max="2" width="5.36328125" bestFit="1" customWidth="1"/>
    <col min="3" max="3" width="9.6328125" bestFit="1" customWidth="1"/>
    <col min="4" max="4" width="10.54296875" bestFit="1" customWidth="1"/>
    <col min="5" max="5" width="10.90625" bestFit="1" customWidth="1"/>
    <col min="6" max="6" width="13.6328125" bestFit="1" customWidth="1"/>
  </cols>
  <sheetData>
    <row r="1" spans="1:6" ht="30.5" customHeight="1" x14ac:dyDescent="0.35">
      <c r="A1" s="312" t="s">
        <v>178</v>
      </c>
      <c r="B1" s="312"/>
      <c r="C1" s="312"/>
      <c r="D1" s="312"/>
      <c r="E1" s="312"/>
      <c r="F1" s="313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780</v>
      </c>
    </row>
    <row r="4" spans="1:6" x14ac:dyDescent="0.35">
      <c r="A4" s="26" t="s">
        <v>227</v>
      </c>
      <c r="B4" s="22">
        <v>8</v>
      </c>
      <c r="C4" s="23">
        <v>35</v>
      </c>
      <c r="D4" s="24">
        <f>IFERROR(VLOOKUP(A4,[1]!TablaEquipos[#Data],2,FALSE),0)</f>
        <v>700</v>
      </c>
      <c r="E4" s="25">
        <f t="shared" ref="E4:E15" si="0">B4*C4*D4</f>
        <v>196000</v>
      </c>
      <c r="F4" s="62"/>
    </row>
    <row r="5" spans="1:6" x14ac:dyDescent="0.35">
      <c r="A5" s="26" t="s">
        <v>251</v>
      </c>
      <c r="B5" s="22">
        <v>8</v>
      </c>
      <c r="C5" s="23">
        <v>35</v>
      </c>
      <c r="D5" s="24">
        <f>IFERROR(VLOOKUP(A5,[1]!TablaEquipos[#Data],2,FALSE),0)</f>
        <v>700</v>
      </c>
      <c r="E5" s="25">
        <f>B5*C5*D5</f>
        <v>196000</v>
      </c>
      <c r="F5" s="62"/>
    </row>
    <row r="6" spans="1:6" x14ac:dyDescent="0.35">
      <c r="A6" s="26" t="s">
        <v>252</v>
      </c>
      <c r="B6" s="22">
        <v>8</v>
      </c>
      <c r="C6" s="23">
        <v>35</v>
      </c>
      <c r="D6" s="24">
        <f>IFERROR(VLOOKUP(A6,[1]!TablaEquipos[#Data],2,FALSE),0)</f>
        <v>700</v>
      </c>
      <c r="E6" s="25">
        <f>B6*C6*D6</f>
        <v>196000</v>
      </c>
      <c r="F6" s="62"/>
    </row>
    <row r="7" spans="1:6" x14ac:dyDescent="0.35">
      <c r="A7" s="24" t="s">
        <v>228</v>
      </c>
      <c r="B7" s="22">
        <v>2</v>
      </c>
      <c r="C7" s="23">
        <v>35</v>
      </c>
      <c r="D7" s="24">
        <f>IFERROR(VLOOKUP(A7,[1]!TablaEquipos[#Data],2,FALSE),0)</f>
        <v>1500</v>
      </c>
      <c r="E7" s="25">
        <f t="shared" si="0"/>
        <v>105000</v>
      </c>
      <c r="F7" s="62"/>
    </row>
    <row r="8" spans="1:6" x14ac:dyDescent="0.35">
      <c r="A8" s="24" t="s">
        <v>224</v>
      </c>
      <c r="B8" s="22">
        <v>1</v>
      </c>
      <c r="C8" s="23">
        <v>35</v>
      </c>
      <c r="D8" s="24">
        <f>IFERROR(VLOOKUP(A8,[1]!TablaEquipos[#Data],2,FALSE),0)</f>
        <v>1500</v>
      </c>
      <c r="E8" s="25">
        <f t="shared" si="0"/>
        <v>52500</v>
      </c>
      <c r="F8" s="62"/>
    </row>
    <row r="9" spans="1:6" x14ac:dyDescent="0.35">
      <c r="A9" s="26" t="s">
        <v>230</v>
      </c>
      <c r="B9" s="22">
        <v>1</v>
      </c>
      <c r="C9" s="23"/>
      <c r="D9" s="24">
        <f>IFERROR(VLOOKUP(A9,[1]!TablaEquipos[#Data],2,FALSE),0)</f>
        <v>15000</v>
      </c>
      <c r="E9" s="25">
        <f t="shared" si="0"/>
        <v>0</v>
      </c>
      <c r="F9" s="62"/>
    </row>
    <row r="10" spans="1:6" x14ac:dyDescent="0.35">
      <c r="A10" s="24" t="s">
        <v>229</v>
      </c>
      <c r="B10" s="22">
        <v>6</v>
      </c>
      <c r="C10" s="23">
        <v>35</v>
      </c>
      <c r="D10" s="24">
        <f>IFERROR(VLOOKUP(A10,[1]!TablaEquipos[#Data],2,FALSE),0)</f>
        <v>1500</v>
      </c>
      <c r="E10" s="25">
        <f t="shared" si="0"/>
        <v>315000</v>
      </c>
      <c r="F10" s="62"/>
    </row>
    <row r="11" spans="1:6" ht="31" x14ac:dyDescent="0.35">
      <c r="A11" s="104" t="s">
        <v>249</v>
      </c>
      <c r="B11" s="22">
        <v>1</v>
      </c>
      <c r="C11" s="23">
        <v>20</v>
      </c>
      <c r="D11" s="24">
        <f>IFERROR(VLOOKUP(A11,[1]!TablaEquipos[#Data],2,FALSE),0)</f>
        <v>40000</v>
      </c>
      <c r="E11" s="25">
        <f t="shared" si="0"/>
        <v>800000</v>
      </c>
      <c r="F11" s="62"/>
    </row>
    <row r="12" spans="1:6" ht="31" x14ac:dyDescent="0.35">
      <c r="A12" s="104" t="s">
        <v>250</v>
      </c>
      <c r="B12" s="22">
        <v>1</v>
      </c>
      <c r="C12" s="23">
        <v>15</v>
      </c>
      <c r="D12" s="24">
        <f>IFERROR(VLOOKUP(A12,[1]!TablaEquipos[#Data],2,FALSE),0)</f>
        <v>60000</v>
      </c>
      <c r="E12" s="25">
        <f t="shared" si="0"/>
        <v>900000</v>
      </c>
      <c r="F12" s="62"/>
    </row>
    <row r="13" spans="1:6" ht="15.5" x14ac:dyDescent="0.35">
      <c r="A13" s="122" t="s">
        <v>343</v>
      </c>
      <c r="B13" s="22">
        <v>4</v>
      </c>
      <c r="C13" s="23">
        <v>35</v>
      </c>
      <c r="D13" s="24">
        <f>IFERROR(VLOOKUP(A13,[1]!TablaEquipos[#Data],2,FALSE),0)</f>
        <v>1000</v>
      </c>
      <c r="E13" s="25">
        <f>B13*C13*D13</f>
        <v>140000</v>
      </c>
      <c r="F13" s="62"/>
    </row>
    <row r="14" spans="1:6" ht="15.5" x14ac:dyDescent="0.35">
      <c r="A14" s="104"/>
      <c r="B14" s="22"/>
      <c r="C14" s="23"/>
      <c r="D14" s="24">
        <f>IFERROR(VLOOKUP(A14,[1]!TablaEquipos[#Data],2,FALSE),0)</f>
        <v>0</v>
      </c>
      <c r="E14" s="25">
        <f>B14*C14*D14</f>
        <v>0</v>
      </c>
      <c r="F14" s="62"/>
    </row>
    <row r="15" spans="1:6" x14ac:dyDescent="0.35">
      <c r="A15" s="24"/>
      <c r="B15" s="22"/>
      <c r="C15" s="23"/>
      <c r="D15" s="24">
        <v>0</v>
      </c>
      <c r="E15" s="25">
        <f t="shared" si="0"/>
        <v>0</v>
      </c>
      <c r="F15" s="62"/>
    </row>
    <row r="16" spans="1:6" x14ac:dyDescent="0.35">
      <c r="A16" s="294"/>
      <c r="B16" s="295"/>
      <c r="C16" s="295"/>
      <c r="D16" s="295"/>
      <c r="E16" s="295"/>
      <c r="F16" s="151">
        <f>SUM(E4:E15)</f>
        <v>2900500</v>
      </c>
    </row>
    <row r="17" spans="1:6" x14ac:dyDescent="0.35">
      <c r="A17" s="33" t="s">
        <v>270</v>
      </c>
      <c r="B17" s="34" t="s">
        <v>83</v>
      </c>
      <c r="C17" s="45" t="s">
        <v>84</v>
      </c>
      <c r="D17" s="46" t="s">
        <v>269</v>
      </c>
      <c r="E17" s="37" t="s">
        <v>86</v>
      </c>
      <c r="F17" s="67"/>
    </row>
    <row r="18" spans="1:6" ht="15.5" x14ac:dyDescent="0.35">
      <c r="A18" s="111" t="s">
        <v>243</v>
      </c>
      <c r="B18" s="78">
        <v>100</v>
      </c>
      <c r="C18" s="23"/>
      <c r="D18" s="29">
        <f>IFERROR(VLOOKUP(A18,[1]!TablaMateriales[#Data],2,FALSE),0)</f>
        <v>9500</v>
      </c>
      <c r="E18" s="25">
        <f>B18*D18</f>
        <v>950000</v>
      </c>
      <c r="F18" s="62"/>
    </row>
    <row r="19" spans="1:6" ht="15.5" x14ac:dyDescent="0.35">
      <c r="A19" s="112" t="s">
        <v>404</v>
      </c>
      <c r="B19" s="113">
        <v>15</v>
      </c>
      <c r="C19" s="32"/>
      <c r="D19" s="29">
        <f>IFERROR(VLOOKUP(A19,[1]!TablaMateriales[#Data],2,FALSE),0)</f>
        <v>11500</v>
      </c>
      <c r="E19" s="83">
        <f>B19*D19</f>
        <v>172500</v>
      </c>
      <c r="F19" s="62"/>
    </row>
    <row r="20" spans="1:6" ht="15.5" x14ac:dyDescent="0.35">
      <c r="A20" s="115" t="s">
        <v>387</v>
      </c>
      <c r="B20" s="78">
        <v>40</v>
      </c>
      <c r="C20" s="23">
        <v>1</v>
      </c>
      <c r="D20" s="29">
        <f>IFERROR(VLOOKUP(A20,[1]!TablaMateriales[#Data],2,FALSE),0)</f>
        <v>6000</v>
      </c>
      <c r="E20" s="83">
        <f>B20*D20</f>
        <v>240000</v>
      </c>
      <c r="F20" s="62"/>
    </row>
    <row r="21" spans="1:6" ht="15.5" x14ac:dyDescent="0.35">
      <c r="A21" s="115"/>
      <c r="B21" s="78"/>
      <c r="C21" s="23"/>
      <c r="D21" s="27"/>
      <c r="E21" s="25"/>
      <c r="F21" s="62"/>
    </row>
    <row r="22" spans="1:6" ht="15.5" x14ac:dyDescent="0.35">
      <c r="A22" s="115"/>
      <c r="B22" s="78"/>
      <c r="C22" s="23"/>
      <c r="D22" s="27"/>
      <c r="E22" s="25"/>
      <c r="F22" s="62"/>
    </row>
    <row r="23" spans="1:6" x14ac:dyDescent="0.35">
      <c r="A23" s="314"/>
      <c r="B23" s="314"/>
      <c r="C23" s="314"/>
      <c r="D23" s="314"/>
      <c r="E23" s="314"/>
      <c r="F23" s="157">
        <f>SUM(E18:E22)</f>
        <v>1362500</v>
      </c>
    </row>
    <row r="24" spans="1:6" x14ac:dyDescent="0.35">
      <c r="A24" s="33" t="s">
        <v>88</v>
      </c>
      <c r="B24" s="34" t="s">
        <v>83</v>
      </c>
      <c r="C24" s="35" t="s">
        <v>84</v>
      </c>
      <c r="D24" s="36" t="s">
        <v>89</v>
      </c>
      <c r="E24" s="37" t="s">
        <v>86</v>
      </c>
      <c r="F24" s="315"/>
    </row>
    <row r="25" spans="1:6" x14ac:dyDescent="0.35">
      <c r="A25" s="38" t="s">
        <v>272</v>
      </c>
      <c r="B25" s="34">
        <v>1</v>
      </c>
      <c r="C25" s="35">
        <v>44</v>
      </c>
      <c r="D25" s="39">
        <v>539456.24067333317</v>
      </c>
      <c r="E25" s="37">
        <f>B25*C25*D25</f>
        <v>23736074.589626659</v>
      </c>
      <c r="F25" s="316"/>
    </row>
    <row r="26" spans="1:6" x14ac:dyDescent="0.35">
      <c r="A26" s="107" t="s">
        <v>273</v>
      </c>
      <c r="B26" s="20">
        <v>1</v>
      </c>
      <c r="C26" s="40">
        <v>44</v>
      </c>
      <c r="D26" s="39">
        <v>539456.24067333317</v>
      </c>
      <c r="E26" s="21">
        <f t="shared" ref="E26:E32" si="1">B26*C26*D26</f>
        <v>23736074.589626659</v>
      </c>
      <c r="F26" s="316"/>
    </row>
    <row r="27" spans="1:6" x14ac:dyDescent="0.35">
      <c r="A27" s="107" t="s">
        <v>277</v>
      </c>
      <c r="B27" s="20"/>
      <c r="C27" s="35"/>
      <c r="D27" s="39">
        <v>539456.24067333317</v>
      </c>
      <c r="E27" s="21">
        <f>B27*C27*D27</f>
        <v>0</v>
      </c>
      <c r="F27" s="316"/>
    </row>
    <row r="28" spans="1:6" x14ac:dyDescent="0.35">
      <c r="A28" s="107" t="s">
        <v>278</v>
      </c>
      <c r="B28" s="20"/>
      <c r="C28" s="35"/>
      <c r="D28" s="39">
        <v>434781.13826000009</v>
      </c>
      <c r="E28" s="21">
        <f>B28*C28*D28</f>
        <v>0</v>
      </c>
      <c r="F28" s="316"/>
    </row>
    <row r="29" spans="1:6" x14ac:dyDescent="0.35">
      <c r="A29" s="107" t="s">
        <v>276</v>
      </c>
      <c r="B29" s="20"/>
      <c r="C29" s="35"/>
      <c r="D29" s="39">
        <v>434781.13826000009</v>
      </c>
      <c r="E29" s="21">
        <f>B29*C29*D29</f>
        <v>0</v>
      </c>
      <c r="F29" s="316"/>
    </row>
    <row r="30" spans="1:6" x14ac:dyDescent="0.35">
      <c r="A30" s="107" t="s">
        <v>274</v>
      </c>
      <c r="B30" s="20">
        <v>2</v>
      </c>
      <c r="C30" s="35">
        <v>44</v>
      </c>
      <c r="D30" s="39">
        <v>399154.66304000001</v>
      </c>
      <c r="E30" s="21">
        <f t="shared" si="1"/>
        <v>35125610.347520001</v>
      </c>
      <c r="F30" s="316"/>
    </row>
    <row r="31" spans="1:6" x14ac:dyDescent="0.35">
      <c r="A31" s="107" t="s">
        <v>223</v>
      </c>
      <c r="B31" s="20">
        <v>1</v>
      </c>
      <c r="C31" s="35">
        <v>44</v>
      </c>
      <c r="D31" s="39">
        <v>383405.20943333331</v>
      </c>
      <c r="E31" s="21">
        <f>B31*C31*D31</f>
        <v>16869829.215066664</v>
      </c>
      <c r="F31" s="316"/>
    </row>
    <row r="32" spans="1:6" x14ac:dyDescent="0.35">
      <c r="A32" s="107" t="s">
        <v>275</v>
      </c>
      <c r="B32" s="117">
        <v>8</v>
      </c>
      <c r="C32" s="118">
        <v>44</v>
      </c>
      <c r="D32" s="119">
        <v>355463.24792666658</v>
      </c>
      <c r="E32" s="120">
        <f t="shared" si="1"/>
        <v>125123063.27018663</v>
      </c>
      <c r="F32" s="316"/>
    </row>
    <row r="33" spans="1:6" x14ac:dyDescent="0.35">
      <c r="A33" s="287"/>
      <c r="B33" s="287"/>
      <c r="C33" s="287"/>
      <c r="D33" s="287"/>
      <c r="E33" s="287"/>
      <c r="F33" s="121">
        <f>SUM(E25:E32)</f>
        <v>224590652.01202661</v>
      </c>
    </row>
    <row r="34" spans="1:6" x14ac:dyDescent="0.35">
      <c r="A34" s="33" t="s">
        <v>279</v>
      </c>
      <c r="B34" s="34" t="s">
        <v>83</v>
      </c>
      <c r="C34" s="35" t="s">
        <v>84</v>
      </c>
      <c r="D34" s="36" t="s">
        <v>269</v>
      </c>
      <c r="E34" s="37" t="s">
        <v>86</v>
      </c>
      <c r="F34" s="62"/>
    </row>
    <row r="35" spans="1:6" x14ac:dyDescent="0.35">
      <c r="A35" s="108" t="s">
        <v>386</v>
      </c>
      <c r="B35" s="108">
        <v>1</v>
      </c>
      <c r="C35" s="108">
        <v>10</v>
      </c>
      <c r="D35" s="108">
        <f>IFERROR(VLOOKUP(A35,[1]!TablaTransporte[#Data],2,FALSE),0)</f>
        <v>0</v>
      </c>
      <c r="E35" s="110">
        <f>B35*C35*D35</f>
        <v>0</v>
      </c>
      <c r="F35" s="42"/>
    </row>
    <row r="36" spans="1:6" x14ac:dyDescent="0.35">
      <c r="A36" s="108" t="s">
        <v>376</v>
      </c>
      <c r="B36" s="41">
        <v>1</v>
      </c>
      <c r="C36" s="108">
        <v>28</v>
      </c>
      <c r="D36" s="108">
        <f>IFERROR(VLOOKUP(A36,[1]!TablaTransporte[#Data],2,FALSE),0)</f>
        <v>0</v>
      </c>
      <c r="E36" s="110">
        <f>B36*C36*D36</f>
        <v>0</v>
      </c>
      <c r="F36" s="171"/>
    </row>
    <row r="37" spans="1:6" x14ac:dyDescent="0.35">
      <c r="A37" s="43"/>
      <c r="B37" s="43"/>
      <c r="C37" s="43"/>
      <c r="D37" s="43">
        <f>IFERROR(VLOOKUP(A37,[1]!TablaTransporte[#Data],2,FALSE),0)</f>
        <v>0</v>
      </c>
      <c r="E37" s="43"/>
      <c r="F37" s="171"/>
    </row>
    <row r="38" spans="1:6" x14ac:dyDescent="0.35">
      <c r="A38" s="288"/>
      <c r="B38" s="289"/>
      <c r="C38" s="289"/>
      <c r="D38" s="289"/>
      <c r="E38" s="290"/>
      <c r="F38" s="172"/>
    </row>
    <row r="39" spans="1:6" ht="15" thickBot="1" x14ac:dyDescent="0.4">
      <c r="A39" s="291"/>
      <c r="B39" s="292"/>
      <c r="C39" s="292"/>
      <c r="D39" s="292"/>
      <c r="E39" s="293"/>
      <c r="F39" s="42">
        <f>SUM(E35:E36)</f>
        <v>0</v>
      </c>
    </row>
    <row r="40" spans="1:6" ht="15" thickBot="1" x14ac:dyDescent="0.4">
      <c r="A40" s="299"/>
      <c r="B40" s="300"/>
      <c r="C40" s="300"/>
      <c r="D40" s="300"/>
      <c r="E40" s="301"/>
      <c r="F40" s="42">
        <f>F16+F23+F33+F39</f>
        <v>228853652.01202661</v>
      </c>
    </row>
    <row r="41" spans="1:6" ht="15" thickBot="1" x14ac:dyDescent="0.4">
      <c r="A41" s="302"/>
      <c r="B41" s="300"/>
      <c r="C41" s="300"/>
      <c r="D41" s="300"/>
      <c r="E41" s="301"/>
      <c r="F41" s="44">
        <f>F40*A41</f>
        <v>0</v>
      </c>
    </row>
    <row r="42" spans="1:6" ht="15" thickBot="1" x14ac:dyDescent="0.4">
      <c r="A42" s="286"/>
      <c r="B42" s="286"/>
      <c r="C42" s="286"/>
      <c r="D42" s="286"/>
      <c r="E42" s="286"/>
      <c r="F42" s="28">
        <f>F40+F41</f>
        <v>228853652.01202661</v>
      </c>
    </row>
    <row r="43" spans="1:6" ht="15" thickBot="1" x14ac:dyDescent="0.4">
      <c r="A43" s="309"/>
      <c r="B43" s="310"/>
      <c r="C43" s="310"/>
      <c r="D43" s="310"/>
      <c r="E43" s="310"/>
      <c r="F43" s="156">
        <f>F42*A43</f>
        <v>0</v>
      </c>
    </row>
    <row r="44" spans="1:6" ht="15" thickBot="1" x14ac:dyDescent="0.4">
      <c r="F44" s="28">
        <f>F42+F43</f>
        <v>228853652.01202661</v>
      </c>
    </row>
    <row r="45" spans="1:6" x14ac:dyDescent="0.35">
      <c r="F45" s="176">
        <f>F44/F3</f>
        <v>293402.11796413671</v>
      </c>
    </row>
  </sheetData>
  <mergeCells count="11">
    <mergeCell ref="A1:F1"/>
    <mergeCell ref="A16:E16"/>
    <mergeCell ref="A23:E23"/>
    <mergeCell ref="A43:E43"/>
    <mergeCell ref="A40:E40"/>
    <mergeCell ref="A41:E41"/>
    <mergeCell ref="A42:E42"/>
    <mergeCell ref="F24:F32"/>
    <mergeCell ref="A33:E33"/>
    <mergeCell ref="A38:E38"/>
    <mergeCell ref="A39:E39"/>
  </mergeCells>
  <dataValidations count="3">
    <dataValidation type="list" allowBlank="1" showInputMessage="1" showErrorMessage="1" sqref="A36 A37 A38" xr:uid="{9F048648-BBD4-4167-9800-7B3FC24CC352}">
      <formula1>ListaTransporte</formula1>
    </dataValidation>
    <dataValidation type="list" allowBlank="1" showInputMessage="1" showErrorMessage="1" sqref="A3:A16" xr:uid="{A107B84D-242F-4D08-BB8F-601CE8F47F4F}">
      <formula1>ListaEquipos</formula1>
    </dataValidation>
    <dataValidation type="list" allowBlank="1" showInputMessage="1" showErrorMessage="1" sqref="A18:A23" xr:uid="{8AF586D2-87CE-4FEF-B878-3CD76759089F}">
      <formula1>ListaMateriales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51CDF-A09B-4712-9083-D2CE6C8F0C9B}">
  <sheetPr>
    <tabColor rgb="FF00B050"/>
  </sheetPr>
  <dimension ref="A1:F74"/>
  <sheetViews>
    <sheetView topLeftCell="A40" zoomScaleNormal="100" workbookViewId="0">
      <selection activeCell="J54" sqref="J54"/>
    </sheetView>
  </sheetViews>
  <sheetFormatPr baseColWidth="10" defaultRowHeight="14.5" x14ac:dyDescent="0.35"/>
  <cols>
    <col min="1" max="1" width="22.90625" bestFit="1" customWidth="1"/>
    <col min="2" max="2" width="6.90625" bestFit="1" customWidth="1"/>
    <col min="3" max="3" width="9.6328125" bestFit="1" customWidth="1"/>
    <col min="4" max="4" width="10.08984375" bestFit="1" customWidth="1"/>
    <col min="6" max="6" width="13.6328125" bestFit="1" customWidth="1"/>
  </cols>
  <sheetData>
    <row r="1" spans="1:6" x14ac:dyDescent="0.35">
      <c r="A1" s="306" t="s">
        <v>179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269</v>
      </c>
    </row>
    <row r="4" spans="1:6" x14ac:dyDescent="0.35">
      <c r="A4" s="24" t="s">
        <v>225</v>
      </c>
      <c r="B4" s="22"/>
      <c r="C4" s="22"/>
      <c r="D4" s="22">
        <f>IFERROR(VLOOKUP(A4,[1]!TablaEquipos[#Data],2,FALSE),0)</f>
        <v>1500</v>
      </c>
      <c r="E4" s="22">
        <f t="shared" ref="E4:E24" si="0">B4*C4*D4</f>
        <v>0</v>
      </c>
      <c r="F4" s="67">
        <f>SUM(E4:E25)</f>
        <v>1186750</v>
      </c>
    </row>
    <row r="5" spans="1:6" x14ac:dyDescent="0.35">
      <c r="A5" s="26" t="s">
        <v>226</v>
      </c>
      <c r="B5" s="22"/>
      <c r="C5" s="23"/>
      <c r="D5" s="24">
        <f>IFERROR(VLOOKUP(A5,[1]!TablaEquipos[#Data],2,FALSE),0)</f>
        <v>700</v>
      </c>
      <c r="E5" s="27">
        <f t="shared" si="0"/>
        <v>0</v>
      </c>
      <c r="F5" s="67"/>
    </row>
    <row r="6" spans="1:6" x14ac:dyDescent="0.35">
      <c r="A6" s="26" t="s">
        <v>227</v>
      </c>
      <c r="B6" s="22">
        <v>3</v>
      </c>
      <c r="C6" s="23">
        <v>15</v>
      </c>
      <c r="D6" s="24">
        <f>IFERROR(VLOOKUP(A6,[1]!TablaEquipos[#Data],2,FALSE),0)</f>
        <v>700</v>
      </c>
      <c r="E6" s="27">
        <f t="shared" si="0"/>
        <v>31500</v>
      </c>
      <c r="F6" s="67"/>
    </row>
    <row r="7" spans="1:6" x14ac:dyDescent="0.35">
      <c r="A7" s="26" t="s">
        <v>251</v>
      </c>
      <c r="B7" s="22"/>
      <c r="C7" s="23"/>
      <c r="D7" s="24">
        <f>IFERROR(VLOOKUP(A7,[1]!TablaEquipos[#Data],2,FALSE),0)</f>
        <v>700</v>
      </c>
      <c r="E7" s="27">
        <f>B7*C7*D7</f>
        <v>0</v>
      </c>
      <c r="F7" s="67"/>
    </row>
    <row r="8" spans="1:6" x14ac:dyDescent="0.35">
      <c r="A8" s="26" t="s">
        <v>252</v>
      </c>
      <c r="B8" s="22">
        <v>3</v>
      </c>
      <c r="C8" s="23">
        <v>15</v>
      </c>
      <c r="D8" s="24">
        <f>IFERROR(VLOOKUP(A8,[1]!TablaEquipos[#Data],2,FALSE),0)</f>
        <v>700</v>
      </c>
      <c r="E8" s="27">
        <f>B8*C8*D8</f>
        <v>31500</v>
      </c>
      <c r="F8" s="67"/>
    </row>
    <row r="9" spans="1:6" x14ac:dyDescent="0.35">
      <c r="A9" s="26" t="s">
        <v>231</v>
      </c>
      <c r="B9" s="22"/>
      <c r="C9" s="23"/>
      <c r="D9" s="24">
        <f>IFERROR(VLOOKUP(A9,[1]!TablaEquipos[#Data],2,FALSE),0)</f>
        <v>1500</v>
      </c>
      <c r="E9" s="27">
        <f t="shared" si="0"/>
        <v>0</v>
      </c>
      <c r="F9" s="67"/>
    </row>
    <row r="10" spans="1:6" x14ac:dyDescent="0.35">
      <c r="A10" s="24" t="s">
        <v>228</v>
      </c>
      <c r="B10" s="22">
        <v>1</v>
      </c>
      <c r="C10" s="23">
        <v>15</v>
      </c>
      <c r="D10" s="24">
        <f>IFERROR(VLOOKUP(A10,[1]!TablaEquipos[#Data],2,FALSE),0)</f>
        <v>1500</v>
      </c>
      <c r="E10" s="27">
        <f t="shared" si="0"/>
        <v>22500</v>
      </c>
      <c r="F10" s="67"/>
    </row>
    <row r="11" spans="1:6" x14ac:dyDescent="0.35">
      <c r="A11" s="24" t="s">
        <v>224</v>
      </c>
      <c r="B11" s="22">
        <v>1</v>
      </c>
      <c r="C11" s="23">
        <v>15</v>
      </c>
      <c r="D11" s="24">
        <f>IFERROR(VLOOKUP(A11,[1]!TablaEquipos[#Data],2,FALSE),0)</f>
        <v>1500</v>
      </c>
      <c r="E11" s="27">
        <f t="shared" si="0"/>
        <v>22500</v>
      </c>
      <c r="F11" s="67"/>
    </row>
    <row r="12" spans="1:6" x14ac:dyDescent="0.35">
      <c r="A12" s="26" t="s">
        <v>230</v>
      </c>
      <c r="B12" s="22"/>
      <c r="C12" s="23"/>
      <c r="D12" s="24">
        <f>IFERROR(VLOOKUP(A12,[1]!TablaEquipos[#Data],2,FALSE),0)</f>
        <v>15000</v>
      </c>
      <c r="E12" s="27">
        <f t="shared" si="0"/>
        <v>0</v>
      </c>
      <c r="F12" s="67"/>
    </row>
    <row r="13" spans="1:6" x14ac:dyDescent="0.35">
      <c r="A13" s="24" t="s">
        <v>232</v>
      </c>
      <c r="B13" s="22"/>
      <c r="C13" s="23"/>
      <c r="D13" s="24">
        <f>IFERROR(VLOOKUP(A13,[1]!TablaEquipos[#Data],2,FALSE),0)</f>
        <v>500</v>
      </c>
      <c r="E13" s="27">
        <f t="shared" si="0"/>
        <v>0</v>
      </c>
      <c r="F13" s="67"/>
    </row>
    <row r="14" spans="1:6" x14ac:dyDescent="0.35">
      <c r="A14" s="24" t="s">
        <v>233</v>
      </c>
      <c r="B14" s="22"/>
      <c r="C14" s="23"/>
      <c r="D14" s="24">
        <f>IFERROR(VLOOKUP(A14,[1]!TablaEquipos[#Data],2,FALSE),0)</f>
        <v>500</v>
      </c>
      <c r="E14" s="27">
        <f t="shared" si="0"/>
        <v>0</v>
      </c>
      <c r="F14" s="67"/>
    </row>
    <row r="15" spans="1:6" x14ac:dyDescent="0.35">
      <c r="A15" s="24" t="s">
        <v>234</v>
      </c>
      <c r="B15" s="22"/>
      <c r="C15" s="23"/>
      <c r="D15" s="24">
        <f>IFERROR(VLOOKUP(A15,[1]!TablaEquipos[#Data],2,FALSE),0)</f>
        <v>135000</v>
      </c>
      <c r="E15" s="27">
        <f t="shared" si="0"/>
        <v>0</v>
      </c>
      <c r="F15" s="67"/>
    </row>
    <row r="16" spans="1:6" x14ac:dyDescent="0.35">
      <c r="A16" s="24" t="s">
        <v>235</v>
      </c>
      <c r="B16" s="22"/>
      <c r="C16" s="23"/>
      <c r="D16" s="24">
        <f>IFERROR(VLOOKUP(A16,[1]!TablaEquipos[#Data],2,FALSE),0)</f>
        <v>0</v>
      </c>
      <c r="E16" s="27">
        <f t="shared" si="0"/>
        <v>0</v>
      </c>
      <c r="F16" s="67"/>
    </row>
    <row r="17" spans="1:6" x14ac:dyDescent="0.35">
      <c r="A17" s="24" t="s">
        <v>236</v>
      </c>
      <c r="B17" s="22"/>
      <c r="C17" s="23"/>
      <c r="D17" s="24">
        <f>IFERROR(VLOOKUP(A17,[1]!TablaEquipos[#Data],2,FALSE),0)</f>
        <v>9000</v>
      </c>
      <c r="E17" s="27">
        <f t="shared" si="0"/>
        <v>0</v>
      </c>
      <c r="F17" s="67"/>
    </row>
    <row r="18" spans="1:6" x14ac:dyDescent="0.35">
      <c r="A18" s="24" t="s">
        <v>237</v>
      </c>
      <c r="B18" s="22"/>
      <c r="C18" s="23"/>
      <c r="D18" s="24">
        <f>IFERROR(VLOOKUP(A18,[1]!TablaEquipos[#Data],2,FALSE),0)</f>
        <v>1000</v>
      </c>
      <c r="E18" s="27">
        <f t="shared" si="0"/>
        <v>0</v>
      </c>
      <c r="F18" s="67"/>
    </row>
    <row r="19" spans="1:6" x14ac:dyDescent="0.35">
      <c r="A19" s="24" t="s">
        <v>229</v>
      </c>
      <c r="B19" s="22">
        <v>2</v>
      </c>
      <c r="C19" s="23">
        <v>15</v>
      </c>
      <c r="D19" s="24">
        <f>IFERROR(VLOOKUP(A19,[1]!TablaEquipos[#Data],2,FALSE),0)</f>
        <v>1500</v>
      </c>
      <c r="E19" s="27">
        <f t="shared" si="0"/>
        <v>45000</v>
      </c>
      <c r="F19" s="67"/>
    </row>
    <row r="20" spans="1:6" ht="23" x14ac:dyDescent="0.35">
      <c r="A20" s="26" t="s">
        <v>247</v>
      </c>
      <c r="B20" s="22"/>
      <c r="C20" s="23"/>
      <c r="D20" s="24">
        <f>IFERROR(VLOOKUP(A20,[1]!TablaEquipos[#Data],2,FALSE),0)</f>
        <v>80000</v>
      </c>
      <c r="E20" s="27">
        <f t="shared" si="0"/>
        <v>0</v>
      </c>
      <c r="F20" s="67"/>
    </row>
    <row r="21" spans="1:6" ht="15.5" x14ac:dyDescent="0.35">
      <c r="A21" s="105" t="s">
        <v>248</v>
      </c>
      <c r="B21" s="22">
        <v>1</v>
      </c>
      <c r="C21" s="23">
        <v>10</v>
      </c>
      <c r="D21" s="24">
        <f>IFERROR(VLOOKUP(A21,[1]!TablaEquipos[#Data],2,FALSE),0)</f>
        <v>100000</v>
      </c>
      <c r="E21" s="27">
        <f t="shared" si="0"/>
        <v>1000000</v>
      </c>
      <c r="F21" s="67"/>
    </row>
    <row r="22" spans="1:6" ht="31" x14ac:dyDescent="0.35">
      <c r="A22" s="104" t="s">
        <v>249</v>
      </c>
      <c r="B22" s="22">
        <v>1</v>
      </c>
      <c r="C22" s="23"/>
      <c r="D22" s="24">
        <f>IFERROR(VLOOKUP(A22,[1]!TablaEquipos[#Data],2,FALSE),0)</f>
        <v>40000</v>
      </c>
      <c r="E22" s="27">
        <f t="shared" si="0"/>
        <v>0</v>
      </c>
      <c r="F22" s="67"/>
    </row>
    <row r="23" spans="1:6" ht="31" x14ac:dyDescent="0.35">
      <c r="A23" s="104" t="s">
        <v>250</v>
      </c>
      <c r="B23" s="22">
        <v>1</v>
      </c>
      <c r="C23" s="23"/>
      <c r="D23" s="24">
        <f>IFERROR(VLOOKUP(A23,[1]!TablaEquipos[#Data],2,FALSE),0)</f>
        <v>60000</v>
      </c>
      <c r="E23" s="27">
        <f t="shared" si="0"/>
        <v>0</v>
      </c>
      <c r="F23" s="67"/>
    </row>
    <row r="24" spans="1:6" ht="15.5" x14ac:dyDescent="0.35">
      <c r="A24" s="122" t="s">
        <v>301</v>
      </c>
      <c r="B24" s="22">
        <v>2</v>
      </c>
      <c r="C24" s="23">
        <v>15</v>
      </c>
      <c r="D24" s="24">
        <f>IFERROR(VLOOKUP(A24,[1]!TablaEquipos[#Data],2,FALSE),0)</f>
        <v>500</v>
      </c>
      <c r="E24" s="27">
        <f t="shared" si="0"/>
        <v>15000</v>
      </c>
      <c r="F24" s="67"/>
    </row>
    <row r="25" spans="1:6" ht="15.5" x14ac:dyDescent="0.35">
      <c r="A25" s="122" t="s">
        <v>347</v>
      </c>
      <c r="B25" s="123">
        <v>2</v>
      </c>
      <c r="C25" s="123">
        <v>15</v>
      </c>
      <c r="D25" s="24">
        <v>625</v>
      </c>
      <c r="E25" s="123">
        <f>B25*C25*D25</f>
        <v>18750</v>
      </c>
      <c r="F25" s="67"/>
    </row>
    <row r="26" spans="1:6" x14ac:dyDescent="0.35">
      <c r="A26" s="308"/>
      <c r="B26" s="308"/>
      <c r="C26" s="308"/>
      <c r="D26" s="308"/>
      <c r="E26" s="308"/>
      <c r="F26" s="67"/>
    </row>
    <row r="27" spans="1:6" x14ac:dyDescent="0.35">
      <c r="A27" s="148" t="s">
        <v>270</v>
      </c>
      <c r="B27" s="20" t="s">
        <v>83</v>
      </c>
      <c r="C27" s="138" t="s">
        <v>84</v>
      </c>
      <c r="D27" s="139" t="s">
        <v>269</v>
      </c>
      <c r="E27" s="39" t="s">
        <v>86</v>
      </c>
      <c r="F27" s="67"/>
    </row>
    <row r="28" spans="1:6" x14ac:dyDescent="0.35">
      <c r="A28" s="26" t="s">
        <v>253</v>
      </c>
      <c r="B28" s="22"/>
      <c r="C28" s="29"/>
      <c r="D28" s="27">
        <f>IFERROR(VLOOKUP(A28,[1]!TablaMateriales[#Data],2,FALSE),0)</f>
        <v>35000</v>
      </c>
      <c r="E28" s="27">
        <f>B28*D28</f>
        <v>0</v>
      </c>
      <c r="F28" s="67"/>
    </row>
    <row r="29" spans="1:6" x14ac:dyDescent="0.35">
      <c r="A29" s="30" t="s">
        <v>254</v>
      </c>
      <c r="B29" s="22"/>
      <c r="C29" s="29"/>
      <c r="D29" s="27">
        <f>IFERROR(VLOOKUP(A29,[1]!TablaMateriales[#Data],2,FALSE),0)</f>
        <v>20000</v>
      </c>
      <c r="E29" s="27">
        <f t="shared" ref="E29:E48" si="1">B29*D29</f>
        <v>0</v>
      </c>
      <c r="F29" s="67"/>
    </row>
    <row r="30" spans="1:6" x14ac:dyDescent="0.35">
      <c r="A30" s="30" t="s">
        <v>255</v>
      </c>
      <c r="B30" s="22"/>
      <c r="C30" s="29"/>
      <c r="D30" s="27">
        <f>IFERROR(VLOOKUP(A30,[1]!TablaMateriales[#Data],2,FALSE),0)</f>
        <v>50000</v>
      </c>
      <c r="E30" s="27">
        <f t="shared" si="1"/>
        <v>0</v>
      </c>
      <c r="F30" s="67"/>
    </row>
    <row r="31" spans="1:6" x14ac:dyDescent="0.35">
      <c r="A31" s="30" t="s">
        <v>256</v>
      </c>
      <c r="B31" s="22"/>
      <c r="C31" s="29"/>
      <c r="D31" s="27">
        <f>IFERROR(VLOOKUP(A31,[1]!TablaMateriales[#Data],2,FALSE),0)</f>
        <v>0</v>
      </c>
      <c r="E31" s="27">
        <f t="shared" si="1"/>
        <v>0</v>
      </c>
      <c r="F31" s="67"/>
    </row>
    <row r="32" spans="1:6" x14ac:dyDescent="0.35">
      <c r="A32" s="30" t="s">
        <v>257</v>
      </c>
      <c r="B32" s="78"/>
      <c r="C32" s="23"/>
      <c r="D32" s="27">
        <f>IFERROR(VLOOKUP(A32,[1]!TablaMateriales[#Data],2,FALSE),0)</f>
        <v>9500</v>
      </c>
      <c r="E32" s="27">
        <f t="shared" si="1"/>
        <v>0</v>
      </c>
      <c r="F32" s="67"/>
    </row>
    <row r="33" spans="1:6" x14ac:dyDescent="0.35">
      <c r="A33" s="30" t="s">
        <v>258</v>
      </c>
      <c r="B33" s="78"/>
      <c r="C33" s="23"/>
      <c r="D33" s="27">
        <f>IFERROR(VLOOKUP(A33,[1]!TablaMateriales[#Data],2,FALSE),0)</f>
        <v>9500</v>
      </c>
      <c r="E33" s="27">
        <f t="shared" si="1"/>
        <v>0</v>
      </c>
      <c r="F33" s="67"/>
    </row>
    <row r="34" spans="1:6" x14ac:dyDescent="0.35">
      <c r="A34" s="30" t="s">
        <v>259</v>
      </c>
      <c r="B34" s="78"/>
      <c r="C34" s="23"/>
      <c r="D34" s="27">
        <f>IFERROR(VLOOKUP(A34,[1]!TablaMateriales[#Data],2,FALSE),0)</f>
        <v>15000</v>
      </c>
      <c r="E34" s="27">
        <f t="shared" si="1"/>
        <v>0</v>
      </c>
      <c r="F34" s="67"/>
    </row>
    <row r="35" spans="1:6" x14ac:dyDescent="0.35">
      <c r="A35" s="30" t="s">
        <v>260</v>
      </c>
      <c r="B35" s="78"/>
      <c r="C35" s="23"/>
      <c r="D35" s="27">
        <f>IFERROR(VLOOKUP(A35,[1]!TablaMateriales[#Data],2,FALSE),0)</f>
        <v>20000</v>
      </c>
      <c r="E35" s="27">
        <f t="shared" si="1"/>
        <v>0</v>
      </c>
      <c r="F35" s="67"/>
    </row>
    <row r="36" spans="1:6" ht="23" x14ac:dyDescent="0.35">
      <c r="A36" s="31" t="s">
        <v>261</v>
      </c>
      <c r="B36" s="85"/>
      <c r="C36" s="23"/>
      <c r="D36" s="27">
        <f>IFERROR(VLOOKUP(A36,[1]!TablaMateriales[#Data],2,FALSE),0)</f>
        <v>55000</v>
      </c>
      <c r="E36" s="27">
        <f t="shared" si="1"/>
        <v>0</v>
      </c>
      <c r="F36" s="67"/>
    </row>
    <row r="37" spans="1:6" x14ac:dyDescent="0.35">
      <c r="A37" s="30" t="s">
        <v>262</v>
      </c>
      <c r="B37" s="78"/>
      <c r="C37" s="23"/>
      <c r="D37" s="27">
        <f>IFERROR(VLOOKUP(A37,[1]!TablaMateriales[#Data],2,FALSE),0)</f>
        <v>15900</v>
      </c>
      <c r="E37" s="27">
        <f t="shared" si="1"/>
        <v>0</v>
      </c>
      <c r="F37" s="67"/>
    </row>
    <row r="38" spans="1:6" x14ac:dyDescent="0.35">
      <c r="A38" s="31" t="s">
        <v>263</v>
      </c>
      <c r="B38" s="78"/>
      <c r="C38" s="23"/>
      <c r="D38" s="27">
        <f>IFERROR(VLOOKUP(A38,[1]!TablaMateriales[#Data],2,FALSE),0)</f>
        <v>14000</v>
      </c>
      <c r="E38" s="27">
        <f t="shared" si="1"/>
        <v>0</v>
      </c>
      <c r="F38" s="67"/>
    </row>
    <row r="39" spans="1:6" x14ac:dyDescent="0.35">
      <c r="A39" s="31" t="s">
        <v>264</v>
      </c>
      <c r="B39" s="78"/>
      <c r="C39" s="23"/>
      <c r="D39" s="27">
        <f>IFERROR(VLOOKUP(A39,[1]!TablaMateriales[#Data],2,FALSE),0)</f>
        <v>3800</v>
      </c>
      <c r="E39" s="27">
        <f t="shared" si="1"/>
        <v>0</v>
      </c>
      <c r="F39" s="67"/>
    </row>
    <row r="40" spans="1:6" x14ac:dyDescent="0.35">
      <c r="A40" s="31" t="s">
        <v>265</v>
      </c>
      <c r="B40" s="78"/>
      <c r="C40" s="23"/>
      <c r="D40" s="27">
        <f>IFERROR(VLOOKUP(A40,[1]!TablaMateriales[#Data],2,FALSE),0)</f>
        <v>65000</v>
      </c>
      <c r="E40" s="27">
        <f t="shared" si="1"/>
        <v>0</v>
      </c>
      <c r="F40" s="67"/>
    </row>
    <row r="41" spans="1:6" x14ac:dyDescent="0.35">
      <c r="A41" s="31" t="s">
        <v>266</v>
      </c>
      <c r="B41" s="78"/>
      <c r="C41" s="23"/>
      <c r="D41" s="27">
        <f>IFERROR(VLOOKUP(A41,[1]!TablaMateriales[#Data],2,FALSE),0)</f>
        <v>65000</v>
      </c>
      <c r="E41" s="27">
        <f t="shared" si="1"/>
        <v>0</v>
      </c>
      <c r="F41" s="67"/>
    </row>
    <row r="42" spans="1:6" x14ac:dyDescent="0.35">
      <c r="A42" s="31" t="s">
        <v>267</v>
      </c>
      <c r="B42" s="78"/>
      <c r="C42" s="23"/>
      <c r="D42" s="27">
        <f>IFERROR(VLOOKUP(A42,[1]!TablaMateriales[#Data],2,FALSE),0)</f>
        <v>65000</v>
      </c>
      <c r="E42" s="27">
        <f t="shared" si="1"/>
        <v>0</v>
      </c>
      <c r="F42" s="67"/>
    </row>
    <row r="43" spans="1:6" x14ac:dyDescent="0.35">
      <c r="A43" s="126" t="s">
        <v>243</v>
      </c>
      <c r="B43" s="78">
        <v>70</v>
      </c>
      <c r="C43" s="23"/>
      <c r="D43" s="27">
        <f>IFERROR(VLOOKUP(A43,[1]!TablaMateriales[#Data],2,FALSE),0)</f>
        <v>9500</v>
      </c>
      <c r="E43" s="27">
        <f t="shared" si="1"/>
        <v>665000</v>
      </c>
      <c r="F43" s="67"/>
    </row>
    <row r="44" spans="1:6" x14ac:dyDescent="0.35">
      <c r="A44" s="126" t="s">
        <v>403</v>
      </c>
      <c r="B44" s="78">
        <v>15</v>
      </c>
      <c r="C44" s="23"/>
      <c r="D44" s="27">
        <f>IFERROR(VLOOKUP(A44,[1]!TablaMateriales[#Data],2,FALSE),0)</f>
        <v>11500</v>
      </c>
      <c r="E44" s="27">
        <f t="shared" si="1"/>
        <v>172500</v>
      </c>
      <c r="F44" s="67"/>
    </row>
    <row r="45" spans="1:6" ht="15.5" x14ac:dyDescent="0.35">
      <c r="A45" s="122" t="s">
        <v>316</v>
      </c>
      <c r="B45" s="78"/>
      <c r="C45" s="23"/>
      <c r="D45" s="27">
        <f>IFERROR(VLOOKUP(A45,[1]!TablaMateriales[#Data],2,FALSE),0)</f>
        <v>32500</v>
      </c>
      <c r="E45" s="27">
        <f t="shared" si="1"/>
        <v>0</v>
      </c>
      <c r="F45" s="67"/>
    </row>
    <row r="46" spans="1:6" ht="15.5" x14ac:dyDescent="0.35">
      <c r="A46" s="122" t="s">
        <v>317</v>
      </c>
      <c r="B46" s="78"/>
      <c r="C46" s="23"/>
      <c r="D46" s="27">
        <f>IFERROR(VLOOKUP(A46,[1]!TablaMateriales[#Data],2,FALSE),0)</f>
        <v>27500</v>
      </c>
      <c r="E46" s="27">
        <f t="shared" si="1"/>
        <v>0</v>
      </c>
      <c r="F46" s="67"/>
    </row>
    <row r="47" spans="1:6" ht="15.5" x14ac:dyDescent="0.35">
      <c r="A47" s="122" t="s">
        <v>387</v>
      </c>
      <c r="B47" s="134">
        <v>13.45</v>
      </c>
      <c r="C47" s="23"/>
      <c r="D47" s="27">
        <f>IFERROR(VLOOKUP(A47,[1]!TablaMateriales[#Data],2,FALSE),0)</f>
        <v>6000</v>
      </c>
      <c r="E47" s="27">
        <f>B47*D47</f>
        <v>80700</v>
      </c>
      <c r="F47" s="67"/>
    </row>
    <row r="48" spans="1:6" ht="15.5" x14ac:dyDescent="0.35">
      <c r="A48" s="104" t="s">
        <v>389</v>
      </c>
      <c r="B48" s="22">
        <v>8</v>
      </c>
      <c r="C48" s="23"/>
      <c r="D48" s="27">
        <v>70000</v>
      </c>
      <c r="E48" s="27">
        <f t="shared" si="1"/>
        <v>560000</v>
      </c>
      <c r="F48" s="67"/>
    </row>
    <row r="49" spans="1:6" x14ac:dyDescent="0.35">
      <c r="A49" s="318"/>
      <c r="B49" s="318"/>
      <c r="C49" s="318"/>
      <c r="D49" s="318"/>
      <c r="E49" s="318"/>
      <c r="F49" s="157">
        <f>SUM(E28:E48)</f>
        <v>1478200</v>
      </c>
    </row>
    <row r="50" spans="1:6" x14ac:dyDescent="0.35">
      <c r="A50" s="33" t="s">
        <v>88</v>
      </c>
      <c r="B50" s="34" t="s">
        <v>83</v>
      </c>
      <c r="C50" s="35" t="s">
        <v>84</v>
      </c>
      <c r="D50" s="36" t="s">
        <v>89</v>
      </c>
      <c r="E50" s="37" t="s">
        <v>86</v>
      </c>
      <c r="F50" s="315"/>
    </row>
    <row r="51" spans="1:6" x14ac:dyDescent="0.35">
      <c r="A51" s="38" t="s">
        <v>272</v>
      </c>
      <c r="B51" s="34">
        <v>1</v>
      </c>
      <c r="C51" s="35">
        <v>11</v>
      </c>
      <c r="D51" s="39">
        <v>539456.24067333317</v>
      </c>
      <c r="E51" s="37">
        <f>B51*C51*D51</f>
        <v>5934018.6474066647</v>
      </c>
      <c r="F51" s="316"/>
    </row>
    <row r="52" spans="1:6" x14ac:dyDescent="0.35">
      <c r="A52" s="107" t="s">
        <v>273</v>
      </c>
      <c r="B52" s="20">
        <v>1</v>
      </c>
      <c r="C52" s="40">
        <v>11</v>
      </c>
      <c r="D52" s="39">
        <v>539456.24067333317</v>
      </c>
      <c r="E52" s="21">
        <f t="shared" ref="E52:E58" si="2">B52*C52*D52</f>
        <v>5934018.6474066647</v>
      </c>
      <c r="F52" s="316"/>
    </row>
    <row r="53" spans="1:6" x14ac:dyDescent="0.35">
      <c r="A53" s="107" t="s">
        <v>277</v>
      </c>
      <c r="B53" s="20">
        <v>1</v>
      </c>
      <c r="C53" s="35"/>
      <c r="D53" s="39">
        <v>539456.24067333317</v>
      </c>
      <c r="E53" s="21">
        <f>B53*C53*D53</f>
        <v>0</v>
      </c>
      <c r="F53" s="316"/>
    </row>
    <row r="54" spans="1:6" x14ac:dyDescent="0.35">
      <c r="A54" s="107" t="s">
        <v>278</v>
      </c>
      <c r="B54" s="20">
        <v>1.5</v>
      </c>
      <c r="C54" s="35"/>
      <c r="D54" s="39">
        <v>434781.13826000009</v>
      </c>
      <c r="E54" s="21">
        <f>B54*C54*D54</f>
        <v>0</v>
      </c>
      <c r="F54" s="316"/>
    </row>
    <row r="55" spans="1:6" x14ac:dyDescent="0.35">
      <c r="A55" s="107" t="s">
        <v>276</v>
      </c>
      <c r="B55" s="20">
        <v>2</v>
      </c>
      <c r="C55" s="35"/>
      <c r="D55" s="39">
        <v>434781.13826000009</v>
      </c>
      <c r="E55" s="21">
        <f>B55*C55*D55</f>
        <v>0</v>
      </c>
      <c r="F55" s="316"/>
    </row>
    <row r="56" spans="1:6" x14ac:dyDescent="0.35">
      <c r="A56" s="107" t="s">
        <v>274</v>
      </c>
      <c r="B56" s="20">
        <v>1</v>
      </c>
      <c r="C56" s="35">
        <v>11</v>
      </c>
      <c r="D56" s="39">
        <v>399154.66304000001</v>
      </c>
      <c r="E56" s="21">
        <f t="shared" si="2"/>
        <v>4390701.2934400002</v>
      </c>
      <c r="F56" s="316"/>
    </row>
    <row r="57" spans="1:6" x14ac:dyDescent="0.35">
      <c r="A57" s="107" t="s">
        <v>223</v>
      </c>
      <c r="B57" s="20">
        <v>1</v>
      </c>
      <c r="C57" s="35">
        <v>11</v>
      </c>
      <c r="D57" s="39">
        <v>383405.20943333331</v>
      </c>
      <c r="E57" s="21">
        <f>B57*C57*D57</f>
        <v>4217457.303766666</v>
      </c>
      <c r="F57" s="316"/>
    </row>
    <row r="58" spans="1:6" x14ac:dyDescent="0.35">
      <c r="A58" s="107" t="s">
        <v>275</v>
      </c>
      <c r="B58" s="117">
        <v>3</v>
      </c>
      <c r="C58" s="118">
        <v>11</v>
      </c>
      <c r="D58" s="119">
        <v>355463.24792666658</v>
      </c>
      <c r="E58" s="120">
        <f t="shared" si="2"/>
        <v>11730287.181579998</v>
      </c>
      <c r="F58" s="316"/>
    </row>
    <row r="59" spans="1:6" x14ac:dyDescent="0.35">
      <c r="A59" s="287"/>
      <c r="B59" s="287"/>
      <c r="C59" s="287"/>
      <c r="D59" s="287"/>
      <c r="E59" s="287"/>
      <c r="F59" s="121">
        <f>SUM(E51:E58)</f>
        <v>32206483.073599994</v>
      </c>
    </row>
    <row r="60" spans="1:6" x14ac:dyDescent="0.35">
      <c r="A60" s="33" t="s">
        <v>279</v>
      </c>
      <c r="B60" s="34" t="s">
        <v>83</v>
      </c>
      <c r="C60" s="35" t="s">
        <v>84</v>
      </c>
      <c r="D60" s="36" t="s">
        <v>269</v>
      </c>
      <c r="E60" s="37" t="s">
        <v>86</v>
      </c>
      <c r="F60" s="62"/>
    </row>
    <row r="61" spans="1:6" x14ac:dyDescent="0.35">
      <c r="A61" s="108" t="s">
        <v>240</v>
      </c>
      <c r="B61" s="108">
        <v>1</v>
      </c>
      <c r="C61" s="108">
        <v>2</v>
      </c>
      <c r="D61" s="108">
        <f>IFERROR(VLOOKUP(A61,[1]!TablaTransporte[#Data],2,FALSE),0)</f>
        <v>550000</v>
      </c>
      <c r="E61" s="108">
        <f t="shared" ref="E61:E67" si="3">B61*C61*D61</f>
        <v>1100000</v>
      </c>
      <c r="F61" s="42"/>
    </row>
    <row r="62" spans="1:6" x14ac:dyDescent="0.35">
      <c r="A62" s="108" t="s">
        <v>241</v>
      </c>
      <c r="B62" s="108"/>
      <c r="C62" s="108"/>
      <c r="D62" s="108">
        <f>IFERROR(VLOOKUP(A62,[1]!TablaTransporte[#Data],2,FALSE),0)</f>
        <v>65000</v>
      </c>
      <c r="E62" s="108">
        <f t="shared" si="3"/>
        <v>0</v>
      </c>
      <c r="F62" s="170"/>
    </row>
    <row r="63" spans="1:6" x14ac:dyDescent="0.35">
      <c r="A63" s="108" t="s">
        <v>246</v>
      </c>
      <c r="B63" s="108">
        <v>1</v>
      </c>
      <c r="C63" s="108">
        <v>6</v>
      </c>
      <c r="D63" s="108">
        <f>IFERROR(VLOOKUP(A63,[1]!TablaTransporte[#Data],2,FALSE),0)</f>
        <v>322000</v>
      </c>
      <c r="E63" s="108">
        <f t="shared" si="3"/>
        <v>1932000</v>
      </c>
      <c r="F63" s="171"/>
    </row>
    <row r="64" spans="1:6" x14ac:dyDescent="0.35">
      <c r="A64" s="108" t="s">
        <v>388</v>
      </c>
      <c r="B64" s="108">
        <v>1</v>
      </c>
      <c r="C64" s="108">
        <v>4</v>
      </c>
      <c r="D64" s="108">
        <f>IFERROR(VLOOKUP(A64,[1]!TablaTransporte[#Data],2,FALSE),0)</f>
        <v>0</v>
      </c>
      <c r="E64" s="108">
        <f t="shared" si="3"/>
        <v>0</v>
      </c>
      <c r="F64" s="171"/>
    </row>
    <row r="65" spans="1:6" ht="23" x14ac:dyDescent="0.35">
      <c r="A65" s="127" t="s">
        <v>244</v>
      </c>
      <c r="B65" s="128"/>
      <c r="C65" s="128"/>
      <c r="D65" s="128">
        <f>IFERROR(VLOOKUP(A65,[1]!TablaTransporte[#Data],2,FALSE),0)</f>
        <v>190000</v>
      </c>
      <c r="E65" s="108">
        <f t="shared" si="3"/>
        <v>0</v>
      </c>
      <c r="F65" s="171"/>
    </row>
    <row r="66" spans="1:6" x14ac:dyDescent="0.35">
      <c r="A66" s="129" t="s">
        <v>245</v>
      </c>
      <c r="B66" s="128"/>
      <c r="C66" s="128"/>
      <c r="D66" s="128">
        <f>IFERROR(VLOOKUP(A66,[1]!TablaTransporte[#Data],2,FALSE),0)</f>
        <v>1350000</v>
      </c>
      <c r="E66" s="108">
        <f t="shared" si="3"/>
        <v>0</v>
      </c>
      <c r="F66" s="171"/>
    </row>
    <row r="67" spans="1:6" x14ac:dyDescent="0.35">
      <c r="A67" s="130" t="s">
        <v>280</v>
      </c>
      <c r="B67" s="128"/>
      <c r="C67" s="128"/>
      <c r="D67" s="128">
        <f>IFERROR(VLOOKUP(A67,[1]!TablaTransporte[#Data],2,FALSE),0)</f>
        <v>1330000</v>
      </c>
      <c r="E67" s="108">
        <f t="shared" si="3"/>
        <v>0</v>
      </c>
      <c r="F67" s="172"/>
    </row>
    <row r="68" spans="1:6" ht="15" thickBot="1" x14ac:dyDescent="0.4">
      <c r="A68" s="291"/>
      <c r="B68" s="292"/>
      <c r="C68" s="292"/>
      <c r="D68" s="292"/>
      <c r="E68" s="293"/>
      <c r="F68" s="42">
        <f>SUM(E61:E67)</f>
        <v>3032000</v>
      </c>
    </row>
    <row r="69" spans="1:6" ht="15" thickBot="1" x14ac:dyDescent="0.4">
      <c r="A69" s="299"/>
      <c r="B69" s="300"/>
      <c r="C69" s="300"/>
      <c r="D69" s="300"/>
      <c r="E69" s="301"/>
      <c r="F69" s="42">
        <f>F4+F49+F59+F68</f>
        <v>37903433.073599994</v>
      </c>
    </row>
    <row r="70" spans="1:6" ht="15" thickBot="1" x14ac:dyDescent="0.4">
      <c r="A70" s="302"/>
      <c r="B70" s="300"/>
      <c r="C70" s="300"/>
      <c r="D70" s="300"/>
      <c r="E70" s="301"/>
      <c r="F70" s="44">
        <f>F69*A70</f>
        <v>0</v>
      </c>
    </row>
    <row r="71" spans="1:6" ht="15" thickBot="1" x14ac:dyDescent="0.4">
      <c r="A71" s="286"/>
      <c r="B71" s="286"/>
      <c r="C71" s="286"/>
      <c r="D71" s="286"/>
      <c r="E71" s="286"/>
      <c r="F71" s="28">
        <f>F69+F70</f>
        <v>37903433.073599994</v>
      </c>
    </row>
    <row r="72" spans="1:6" ht="15" thickBot="1" x14ac:dyDescent="0.4">
      <c r="A72" s="317"/>
      <c r="B72" s="306"/>
      <c r="C72" s="306"/>
      <c r="D72" s="306"/>
      <c r="E72" s="282"/>
      <c r="F72" s="28">
        <f>F71*A72</f>
        <v>0</v>
      </c>
    </row>
    <row r="73" spans="1:6" ht="15" thickBot="1" x14ac:dyDescent="0.4">
      <c r="F73" s="28">
        <f>F71+F72</f>
        <v>37903433.073599994</v>
      </c>
    </row>
    <row r="74" spans="1:6" x14ac:dyDescent="0.35">
      <c r="F74" s="176">
        <f>F73/F3</f>
        <v>140904.95566394049</v>
      </c>
    </row>
  </sheetData>
  <mergeCells count="10">
    <mergeCell ref="A1:F1"/>
    <mergeCell ref="A26:E26"/>
    <mergeCell ref="A59:E59"/>
    <mergeCell ref="A49:E49"/>
    <mergeCell ref="F50:F58"/>
    <mergeCell ref="A68:E68"/>
    <mergeCell ref="A69:E69"/>
    <mergeCell ref="A70:E70"/>
    <mergeCell ref="A71:E71"/>
    <mergeCell ref="A72:E72"/>
  </mergeCells>
  <dataValidations count="3">
    <dataValidation type="list" allowBlank="1" showInputMessage="1" showErrorMessage="1" sqref="A28:A49" xr:uid="{E268E866-39B2-4F28-B5CF-D096CE73C944}">
      <formula1>ListaMateriales</formula1>
    </dataValidation>
    <dataValidation type="list" allowBlank="1" showInputMessage="1" showErrorMessage="1" sqref="A3:A26" xr:uid="{BE26D19F-D61D-4C28-A0F3-F25E2C9B1F6B}">
      <formula1>ListaEquipos</formula1>
    </dataValidation>
    <dataValidation type="list" allowBlank="1" showInputMessage="1" showErrorMessage="1" sqref="A62 A63 A64 A65 A66 A67" xr:uid="{2156EE6E-2901-4C47-9EA9-AC56D3A7296E}">
      <formula1>ListaTransporte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5C98-988F-402D-AB8C-9217CC1E26C9}">
  <sheetPr>
    <tabColor rgb="FF00B050"/>
  </sheetPr>
  <dimension ref="A1:F80"/>
  <sheetViews>
    <sheetView topLeftCell="A64" workbookViewId="0">
      <selection activeCell="A61" sqref="A61:D73"/>
    </sheetView>
  </sheetViews>
  <sheetFormatPr baseColWidth="10" defaultRowHeight="14.5" x14ac:dyDescent="0.35"/>
  <cols>
    <col min="1" max="1" width="25.453125" customWidth="1"/>
    <col min="2" max="2" width="5.36328125" bestFit="1" customWidth="1"/>
    <col min="3" max="3" width="9.6328125" bestFit="1" customWidth="1"/>
    <col min="4" max="4" width="10.08984375" bestFit="1" customWidth="1"/>
    <col min="5" max="5" width="11.453125" bestFit="1" customWidth="1"/>
    <col min="6" max="6" width="13.6328125" bestFit="1" customWidth="1"/>
  </cols>
  <sheetData>
    <row r="1" spans="1:6" x14ac:dyDescent="0.35">
      <c r="A1" s="306" t="s">
        <v>180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728</v>
      </c>
    </row>
    <row r="4" spans="1:6" x14ac:dyDescent="0.35">
      <c r="A4" s="24" t="s">
        <v>225</v>
      </c>
      <c r="B4" s="22">
        <v>1</v>
      </c>
      <c r="C4" s="23"/>
      <c r="D4" s="24">
        <f>IFERROR(VLOOKUP(A4,[1]!TablaEquipos[#Data],2,FALSE),0)</f>
        <v>1500</v>
      </c>
      <c r="E4" s="25">
        <f t="shared" ref="E4:E24" si="0">B4*C4*D4</f>
        <v>0</v>
      </c>
      <c r="F4" s="310"/>
    </row>
    <row r="5" spans="1:6" ht="15.5" x14ac:dyDescent="0.35">
      <c r="A5" s="122" t="s">
        <v>300</v>
      </c>
      <c r="B5" s="22">
        <v>1</v>
      </c>
      <c r="C5" s="23"/>
      <c r="D5" s="24">
        <f>IFERROR(VLOOKUP(A5,[1]!TablaEquipos[#Data],2,FALSE),0)</f>
        <v>700</v>
      </c>
      <c r="E5" s="25">
        <f>B5*C5*D5</f>
        <v>0</v>
      </c>
      <c r="F5" s="310"/>
    </row>
    <row r="6" spans="1:6" x14ac:dyDescent="0.35">
      <c r="A6" s="26" t="s">
        <v>226</v>
      </c>
      <c r="B6" s="22">
        <v>1</v>
      </c>
      <c r="C6" s="23"/>
      <c r="D6" s="24">
        <f>IFERROR(VLOOKUP(A6,[1]!TablaEquipos[#Data],2,FALSE),0)</f>
        <v>700</v>
      </c>
      <c r="E6" s="25">
        <f t="shared" si="0"/>
        <v>0</v>
      </c>
      <c r="F6" s="310"/>
    </row>
    <row r="7" spans="1:6" x14ac:dyDescent="0.35">
      <c r="A7" s="26" t="s">
        <v>227</v>
      </c>
      <c r="B7" s="22">
        <v>8</v>
      </c>
      <c r="C7" s="23">
        <v>18</v>
      </c>
      <c r="D7" s="24">
        <f>IFERROR(VLOOKUP(A7,[1]!TablaEquipos[#Data],2,FALSE),0)</f>
        <v>700</v>
      </c>
      <c r="E7" s="25">
        <f t="shared" si="0"/>
        <v>100800</v>
      </c>
      <c r="F7" s="310"/>
    </row>
    <row r="8" spans="1:6" x14ac:dyDescent="0.35">
      <c r="A8" s="26" t="s">
        <v>251</v>
      </c>
      <c r="B8" s="22">
        <v>8</v>
      </c>
      <c r="C8" s="23"/>
      <c r="D8" s="24">
        <f>IFERROR(VLOOKUP(A8,[1]!TablaEquipos[#Data],2,FALSE),0)</f>
        <v>700</v>
      </c>
      <c r="E8" s="25">
        <f>B8*C8*D8</f>
        <v>0</v>
      </c>
      <c r="F8" s="310"/>
    </row>
    <row r="9" spans="1:6" x14ac:dyDescent="0.35">
      <c r="A9" s="26" t="s">
        <v>252</v>
      </c>
      <c r="B9" s="22">
        <v>8</v>
      </c>
      <c r="C9" s="23">
        <v>18</v>
      </c>
      <c r="D9" s="24">
        <f>IFERROR(VLOOKUP(A9,[1]!TablaEquipos[#Data],2,FALSE),0)</f>
        <v>700</v>
      </c>
      <c r="E9" s="25">
        <f>B9*C9*D9</f>
        <v>100800</v>
      </c>
      <c r="F9" s="310"/>
    </row>
    <row r="10" spans="1:6" x14ac:dyDescent="0.35">
      <c r="A10" s="26" t="s">
        <v>231</v>
      </c>
      <c r="B10" s="22">
        <v>4</v>
      </c>
      <c r="C10" s="23"/>
      <c r="D10" s="24">
        <f>IFERROR(VLOOKUP(A10,[1]!TablaEquipos[#Data],2,FALSE),0)</f>
        <v>1500</v>
      </c>
      <c r="E10" s="25">
        <f t="shared" si="0"/>
        <v>0</v>
      </c>
      <c r="F10" s="310"/>
    </row>
    <row r="11" spans="1:6" x14ac:dyDescent="0.35">
      <c r="A11" s="24" t="s">
        <v>228</v>
      </c>
      <c r="B11" s="22">
        <v>1</v>
      </c>
      <c r="C11" s="23">
        <v>18</v>
      </c>
      <c r="D11" s="24">
        <f>IFERROR(VLOOKUP(A11,[1]!TablaEquipos[#Data],2,FALSE),0)</f>
        <v>1500</v>
      </c>
      <c r="E11" s="25">
        <f t="shared" si="0"/>
        <v>27000</v>
      </c>
      <c r="F11" s="310"/>
    </row>
    <row r="12" spans="1:6" x14ac:dyDescent="0.35">
      <c r="A12" s="24" t="s">
        <v>224</v>
      </c>
      <c r="B12" s="22">
        <v>1</v>
      </c>
      <c r="C12" s="23">
        <v>18</v>
      </c>
      <c r="D12" s="24">
        <f>IFERROR(VLOOKUP(A12,[1]!TablaEquipos[#Data],2,FALSE),0)</f>
        <v>1500</v>
      </c>
      <c r="E12" s="25">
        <f t="shared" si="0"/>
        <v>27000</v>
      </c>
      <c r="F12" s="310"/>
    </row>
    <row r="13" spans="1:6" x14ac:dyDescent="0.35">
      <c r="A13" s="26" t="s">
        <v>230</v>
      </c>
      <c r="B13" s="22">
        <v>1</v>
      </c>
      <c r="C13" s="23"/>
      <c r="D13" s="24">
        <f>IFERROR(VLOOKUP(A13,[1]!TablaEquipos[#Data],2,FALSE),0)</f>
        <v>15000</v>
      </c>
      <c r="E13" s="25">
        <f t="shared" si="0"/>
        <v>0</v>
      </c>
      <c r="F13" s="310"/>
    </row>
    <row r="14" spans="1:6" x14ac:dyDescent="0.35">
      <c r="A14" s="81" t="s">
        <v>232</v>
      </c>
      <c r="B14" s="82"/>
      <c r="C14" s="32"/>
      <c r="D14" s="24">
        <f>IFERROR(VLOOKUP(A14,[1]!TablaEquipos[#Data],2,FALSE),0)</f>
        <v>500</v>
      </c>
      <c r="E14" s="25">
        <f t="shared" si="0"/>
        <v>0</v>
      </c>
      <c r="F14" s="310"/>
    </row>
    <row r="15" spans="1:6" x14ac:dyDescent="0.35">
      <c r="A15" s="24" t="s">
        <v>233</v>
      </c>
      <c r="B15" s="22"/>
      <c r="C15" s="23"/>
      <c r="D15" s="24">
        <f>IFERROR(VLOOKUP(A15,[1]!TablaEquipos[#Data],2,FALSE),0)</f>
        <v>500</v>
      </c>
      <c r="E15" s="25">
        <f t="shared" si="0"/>
        <v>0</v>
      </c>
      <c r="F15" s="310"/>
    </row>
    <row r="16" spans="1:6" x14ac:dyDescent="0.35">
      <c r="A16" s="24" t="s">
        <v>234</v>
      </c>
      <c r="B16" s="22"/>
      <c r="C16" s="23"/>
      <c r="D16" s="24">
        <f>IFERROR(VLOOKUP(A16,[1]!TablaEquipos[#Data],2,FALSE),0)</f>
        <v>135000</v>
      </c>
      <c r="E16" s="25">
        <f t="shared" si="0"/>
        <v>0</v>
      </c>
      <c r="F16" s="310"/>
    </row>
    <row r="17" spans="1:6" x14ac:dyDescent="0.35">
      <c r="A17" s="24" t="s">
        <v>235</v>
      </c>
      <c r="B17" s="22"/>
      <c r="C17" s="23"/>
      <c r="D17" s="24">
        <f>IFERROR(VLOOKUP(A17,[1]!TablaEquipos[#Data],2,FALSE),0)</f>
        <v>0</v>
      </c>
      <c r="E17" s="25">
        <f t="shared" si="0"/>
        <v>0</v>
      </c>
      <c r="F17" s="310"/>
    </row>
    <row r="18" spans="1:6" x14ac:dyDescent="0.35">
      <c r="A18" s="24" t="s">
        <v>236</v>
      </c>
      <c r="B18" s="22"/>
      <c r="C18" s="23"/>
      <c r="D18" s="24">
        <f>IFERROR(VLOOKUP(A18,[1]!TablaEquipos[#Data],2,FALSE),0)</f>
        <v>9000</v>
      </c>
      <c r="E18" s="25">
        <f t="shared" si="0"/>
        <v>0</v>
      </c>
      <c r="F18" s="310"/>
    </row>
    <row r="19" spans="1:6" x14ac:dyDescent="0.35">
      <c r="A19" s="24" t="s">
        <v>237</v>
      </c>
      <c r="B19" s="22"/>
      <c r="C19" s="23"/>
      <c r="D19" s="24">
        <f>IFERROR(VLOOKUP(A19,[1]!TablaEquipos[#Data],2,FALSE),0)</f>
        <v>1000</v>
      </c>
      <c r="E19" s="25">
        <f t="shared" si="0"/>
        <v>0</v>
      </c>
      <c r="F19" s="310"/>
    </row>
    <row r="20" spans="1:6" x14ac:dyDescent="0.35">
      <c r="A20" s="24" t="s">
        <v>229</v>
      </c>
      <c r="B20" s="22">
        <v>6</v>
      </c>
      <c r="C20" s="23">
        <v>18</v>
      </c>
      <c r="D20" s="24">
        <f>IFERROR(VLOOKUP(A20,[1]!TablaEquipos[#Data],2,FALSE),0)</f>
        <v>1500</v>
      </c>
      <c r="E20" s="25">
        <f t="shared" si="0"/>
        <v>162000</v>
      </c>
      <c r="F20" s="310"/>
    </row>
    <row r="21" spans="1:6" ht="23" x14ac:dyDescent="0.35">
      <c r="A21" s="26" t="s">
        <v>247</v>
      </c>
      <c r="B21" s="22"/>
      <c r="C21" s="23"/>
      <c r="D21" s="24">
        <f>IFERROR(VLOOKUP(A21,[1]!TablaEquipos[#Data],2,FALSE),0)</f>
        <v>80000</v>
      </c>
      <c r="E21" s="25">
        <f t="shared" si="0"/>
        <v>0</v>
      </c>
      <c r="F21" s="310"/>
    </row>
    <row r="22" spans="1:6" ht="15.5" x14ac:dyDescent="0.35">
      <c r="A22" s="105" t="s">
        <v>248</v>
      </c>
      <c r="B22" s="22">
        <v>1</v>
      </c>
      <c r="C22" s="23">
        <v>2</v>
      </c>
      <c r="D22" s="24">
        <f>IFERROR(VLOOKUP(A22,[1]!TablaEquipos[#Data],2,FALSE),0)</f>
        <v>100000</v>
      </c>
      <c r="E22" s="25">
        <f t="shared" si="0"/>
        <v>200000</v>
      </c>
      <c r="F22" s="310"/>
    </row>
    <row r="23" spans="1:6" ht="31" x14ac:dyDescent="0.35">
      <c r="A23" s="104" t="s">
        <v>249</v>
      </c>
      <c r="B23" s="22">
        <v>1</v>
      </c>
      <c r="C23" s="23">
        <v>7</v>
      </c>
      <c r="D23" s="24">
        <f>IFERROR(VLOOKUP(A23,[1]!TablaEquipos[#Data],2,FALSE),0)</f>
        <v>40000</v>
      </c>
      <c r="E23" s="25">
        <f t="shared" si="0"/>
        <v>280000</v>
      </c>
      <c r="F23" s="310"/>
    </row>
    <row r="24" spans="1:6" ht="31" x14ac:dyDescent="0.35">
      <c r="A24" s="104" t="s">
        <v>250</v>
      </c>
      <c r="B24" s="22">
        <v>1</v>
      </c>
      <c r="C24" s="23">
        <v>9</v>
      </c>
      <c r="D24" s="24">
        <f>IFERROR(VLOOKUP(A24,[1]!TablaEquipos[#Data],2,FALSE),0)</f>
        <v>60000</v>
      </c>
      <c r="E24" s="25">
        <f t="shared" si="0"/>
        <v>540000</v>
      </c>
      <c r="F24" s="310"/>
    </row>
    <row r="25" spans="1:6" ht="15.5" x14ac:dyDescent="0.35">
      <c r="A25" s="122" t="s">
        <v>301</v>
      </c>
      <c r="B25" s="22">
        <v>2</v>
      </c>
      <c r="C25" s="23">
        <v>18</v>
      </c>
      <c r="D25" s="24">
        <f>IFERROR(VLOOKUP(A25,[1]!TablaEquipos[#Data],2,FALSE),0)</f>
        <v>500</v>
      </c>
      <c r="E25" s="25">
        <f>B25*C25*D25</f>
        <v>18000</v>
      </c>
      <c r="F25" s="310"/>
    </row>
    <row r="26" spans="1:6" ht="15.5" x14ac:dyDescent="0.35">
      <c r="A26" s="122" t="s">
        <v>347</v>
      </c>
      <c r="B26" s="123">
        <v>2</v>
      </c>
      <c r="C26" s="123">
        <v>18</v>
      </c>
      <c r="D26" s="24">
        <f>IFERROR(VLOOKUP(A26,[1]!TablaEquipos[#Data],2,FALSE),0)</f>
        <v>625</v>
      </c>
      <c r="E26" s="123">
        <f>B26*C26*D26</f>
        <v>22500</v>
      </c>
      <c r="F26" s="310"/>
    </row>
    <row r="27" spans="1:6" ht="15" thickBot="1" x14ac:dyDescent="0.4">
      <c r="A27" s="294"/>
      <c r="B27" s="295"/>
      <c r="C27" s="295"/>
      <c r="D27" s="295"/>
      <c r="E27" s="295"/>
      <c r="F27" s="84">
        <f>SUM(E4:E26)</f>
        <v>1478100</v>
      </c>
    </row>
    <row r="28" spans="1:6" x14ac:dyDescent="0.35">
      <c r="A28" s="33" t="s">
        <v>270</v>
      </c>
      <c r="B28" s="34" t="s">
        <v>83</v>
      </c>
      <c r="C28" s="45" t="s">
        <v>84</v>
      </c>
      <c r="D28" s="46" t="s">
        <v>269</v>
      </c>
      <c r="E28" s="37" t="s">
        <v>86</v>
      </c>
      <c r="F28" s="324"/>
    </row>
    <row r="29" spans="1:6" x14ac:dyDescent="0.35">
      <c r="A29" s="26" t="s">
        <v>253</v>
      </c>
      <c r="B29" s="22">
        <v>15</v>
      </c>
      <c r="C29" s="29"/>
      <c r="D29" s="27">
        <f>IFERROR(VLOOKUP(A28,[1]!TablaMateriales[#Data],2,FALSE),0)</f>
        <v>0</v>
      </c>
      <c r="E29" s="25">
        <f>B29*D29</f>
        <v>0</v>
      </c>
      <c r="F29" s="282"/>
    </row>
    <row r="30" spans="1:6" x14ac:dyDescent="0.35">
      <c r="A30" s="30" t="s">
        <v>254</v>
      </c>
      <c r="B30" s="22">
        <v>15</v>
      </c>
      <c r="C30" s="29"/>
      <c r="D30" s="27">
        <f>IFERROR(VLOOKUP(A29,[1]!TablaMateriales[#Data],2,FALSE),0)</f>
        <v>35000</v>
      </c>
      <c r="E30" s="25">
        <f>B30*D30</f>
        <v>525000</v>
      </c>
      <c r="F30" s="282"/>
    </row>
    <row r="31" spans="1:6" x14ac:dyDescent="0.35">
      <c r="A31" s="30" t="s">
        <v>255</v>
      </c>
      <c r="B31" s="22"/>
      <c r="C31" s="29"/>
      <c r="D31" s="27">
        <f>IFERROR(VLOOKUP(A30,[1]!TablaMateriales[#Data],2,FALSE),0)</f>
        <v>20000</v>
      </c>
      <c r="E31" s="25">
        <f>B31*D31</f>
        <v>0</v>
      </c>
      <c r="F31" s="282"/>
    </row>
    <row r="32" spans="1:6" x14ac:dyDescent="0.35">
      <c r="A32" s="30" t="s">
        <v>256</v>
      </c>
      <c r="B32" s="22"/>
      <c r="C32" s="29"/>
      <c r="D32" s="27">
        <f>IFERROR(VLOOKUP(A31,[1]!TablaMateriales[#Data],2,FALSE),0)</f>
        <v>50000</v>
      </c>
      <c r="E32" s="25">
        <f>B32*D32</f>
        <v>0</v>
      </c>
      <c r="F32" s="282"/>
    </row>
    <row r="33" spans="1:6" x14ac:dyDescent="0.35">
      <c r="A33" s="30" t="s">
        <v>257</v>
      </c>
      <c r="B33" s="78"/>
      <c r="C33" s="23"/>
      <c r="D33" s="27">
        <f>IFERROR(VLOOKUP(A32,[1]!TablaMateriales[#Data],2,FALSE),0)</f>
        <v>0</v>
      </c>
      <c r="E33" s="25">
        <f>B33*D33</f>
        <v>0</v>
      </c>
      <c r="F33" s="282"/>
    </row>
    <row r="34" spans="1:6" x14ac:dyDescent="0.35">
      <c r="A34" s="30" t="s">
        <v>258</v>
      </c>
      <c r="B34" s="78">
        <v>5</v>
      </c>
      <c r="C34" s="23"/>
      <c r="D34" s="27">
        <f>IFERROR(VLOOKUP(A33,[1]!TablaMateriales[#Data],2,FALSE),0)</f>
        <v>9500</v>
      </c>
      <c r="E34" s="25">
        <f t="shared" ref="E34:E44" si="1">B34*D34</f>
        <v>47500</v>
      </c>
      <c r="F34" s="282"/>
    </row>
    <row r="35" spans="1:6" x14ac:dyDescent="0.35">
      <c r="A35" s="30" t="s">
        <v>259</v>
      </c>
      <c r="B35" s="78"/>
      <c r="C35" s="23"/>
      <c r="D35" s="27">
        <f>IFERROR(VLOOKUP(A34,[1]!TablaMateriales[#Data],2,FALSE),0)</f>
        <v>9500</v>
      </c>
      <c r="E35" s="25">
        <f t="shared" si="1"/>
        <v>0</v>
      </c>
      <c r="F35" s="282"/>
    </row>
    <row r="36" spans="1:6" x14ac:dyDescent="0.35">
      <c r="A36" s="30" t="s">
        <v>260</v>
      </c>
      <c r="B36" s="78"/>
      <c r="C36" s="23"/>
      <c r="D36" s="27">
        <f>IFERROR(VLOOKUP(A35,[1]!TablaMateriales[#Data],2,FALSE),0)</f>
        <v>15000</v>
      </c>
      <c r="E36" s="25">
        <f t="shared" si="1"/>
        <v>0</v>
      </c>
      <c r="F36" s="282"/>
    </row>
    <row r="37" spans="1:6" ht="23" x14ac:dyDescent="0.35">
      <c r="A37" s="79" t="s">
        <v>261</v>
      </c>
      <c r="B37" s="85">
        <v>3</v>
      </c>
      <c r="C37" s="23"/>
      <c r="D37" s="27">
        <f>IFERROR(VLOOKUP(A36,[1]!TablaMateriales[#Data],2,FALSE),0)</f>
        <v>20000</v>
      </c>
      <c r="E37" s="25">
        <f t="shared" si="1"/>
        <v>60000</v>
      </c>
      <c r="F37" s="282"/>
    </row>
    <row r="38" spans="1:6" x14ac:dyDescent="0.35">
      <c r="A38" s="30" t="s">
        <v>262</v>
      </c>
      <c r="B38" s="78"/>
      <c r="C38" s="23"/>
      <c r="D38" s="27">
        <f>IFERROR(VLOOKUP(A37,[1]!TablaMateriales[#Data],2,FALSE),0)</f>
        <v>55000</v>
      </c>
      <c r="E38" s="25">
        <f t="shared" si="1"/>
        <v>0</v>
      </c>
      <c r="F38" s="282"/>
    </row>
    <row r="39" spans="1:6" x14ac:dyDescent="0.35">
      <c r="A39" s="31" t="s">
        <v>263</v>
      </c>
      <c r="B39" s="78"/>
      <c r="C39" s="23"/>
      <c r="D39" s="27">
        <f>IFERROR(VLOOKUP(A38,[1]!TablaMateriales[#Data],2,FALSE),0)</f>
        <v>15900</v>
      </c>
      <c r="E39" s="25">
        <f t="shared" si="1"/>
        <v>0</v>
      </c>
      <c r="F39" s="282"/>
    </row>
    <row r="40" spans="1:6" x14ac:dyDescent="0.35">
      <c r="A40" s="31" t="s">
        <v>264</v>
      </c>
      <c r="B40" s="78"/>
      <c r="C40" s="23"/>
      <c r="D40" s="27">
        <f>IFERROR(VLOOKUP(A39,[1]!TablaMateriales[#Data],2,FALSE),0)</f>
        <v>14000</v>
      </c>
      <c r="E40" s="27">
        <f t="shared" si="1"/>
        <v>0</v>
      </c>
      <c r="F40" s="282"/>
    </row>
    <row r="41" spans="1:6" x14ac:dyDescent="0.35">
      <c r="A41" s="31" t="s">
        <v>265</v>
      </c>
      <c r="B41" s="78"/>
      <c r="C41" s="23"/>
      <c r="D41" s="27">
        <f>IFERROR(VLOOKUP(A40,[1]!TablaMateriales[#Data],2,FALSE),0)</f>
        <v>3800</v>
      </c>
      <c r="E41" s="27">
        <f t="shared" si="1"/>
        <v>0</v>
      </c>
      <c r="F41" s="282"/>
    </row>
    <row r="42" spans="1:6" x14ac:dyDescent="0.35">
      <c r="A42" s="31" t="s">
        <v>266</v>
      </c>
      <c r="B42" s="78"/>
      <c r="C42" s="23"/>
      <c r="D42" s="27">
        <f>IFERROR(VLOOKUP(A41,[1]!TablaMateriales[#Data],2,FALSE),0)</f>
        <v>65000</v>
      </c>
      <c r="E42" s="27">
        <f t="shared" si="1"/>
        <v>0</v>
      </c>
      <c r="F42" s="282"/>
    </row>
    <row r="43" spans="1:6" x14ac:dyDescent="0.35">
      <c r="A43" s="31" t="s">
        <v>267</v>
      </c>
      <c r="B43" s="78"/>
      <c r="C43" s="23"/>
      <c r="D43" s="27">
        <f>IFERROR(VLOOKUP(A42,[1]!TablaMateriales[#Data],2,FALSE),0)</f>
        <v>65000</v>
      </c>
      <c r="E43" s="27">
        <f t="shared" si="1"/>
        <v>0</v>
      </c>
      <c r="F43" s="282"/>
    </row>
    <row r="44" spans="1:6" x14ac:dyDescent="0.35">
      <c r="A44" s="124" t="s">
        <v>243</v>
      </c>
      <c r="B44" s="78">
        <v>75</v>
      </c>
      <c r="C44" s="23"/>
      <c r="D44" s="27">
        <f>IFERROR(VLOOKUP(A43,[1]!TablaMateriales[#Data],2,FALSE),0)</f>
        <v>65000</v>
      </c>
      <c r="E44" s="27">
        <f t="shared" si="1"/>
        <v>4875000</v>
      </c>
      <c r="F44" s="282"/>
    </row>
    <row r="45" spans="1:6" x14ac:dyDescent="0.35">
      <c r="A45" s="125" t="s">
        <v>353</v>
      </c>
      <c r="B45" s="113">
        <v>15</v>
      </c>
      <c r="C45" s="32"/>
      <c r="D45" s="27">
        <f>IFERROR(VLOOKUP(A44,[1]!TablaMateriales[#Data],2,FALSE),0)</f>
        <v>9500</v>
      </c>
      <c r="E45" s="114">
        <f>B45*D45</f>
        <v>142500</v>
      </c>
      <c r="F45" s="282"/>
    </row>
    <row r="46" spans="1:6" x14ac:dyDescent="0.35">
      <c r="A46" s="125" t="s">
        <v>361</v>
      </c>
      <c r="B46" s="78">
        <v>728</v>
      </c>
      <c r="C46" s="23"/>
      <c r="D46" s="27">
        <f>IFERROR(VLOOKUP(A45,[1]!TablaMateriales[#Data],2,FALSE),0)</f>
        <v>0</v>
      </c>
      <c r="E46" s="27">
        <f>B46*D46</f>
        <v>0</v>
      </c>
      <c r="F46" s="282"/>
    </row>
    <row r="47" spans="1:6" x14ac:dyDescent="0.35">
      <c r="A47" s="126"/>
      <c r="B47" s="78"/>
      <c r="C47" s="23"/>
      <c r="D47" s="27"/>
      <c r="E47" s="27"/>
      <c r="F47" s="282"/>
    </row>
    <row r="48" spans="1:6" ht="15" thickBot="1" x14ac:dyDescent="0.4">
      <c r="A48" s="126"/>
      <c r="B48" s="78"/>
      <c r="C48" s="23"/>
      <c r="D48" s="27"/>
      <c r="E48" s="27"/>
      <c r="F48" s="323"/>
    </row>
    <row r="49" spans="1:6" x14ac:dyDescent="0.35">
      <c r="A49" s="314"/>
      <c r="B49" s="314"/>
      <c r="C49" s="314"/>
      <c r="D49" s="314"/>
      <c r="E49" s="314"/>
      <c r="F49" s="116">
        <f>SUM(E29:E48)</f>
        <v>5650000</v>
      </c>
    </row>
    <row r="50" spans="1:6" x14ac:dyDescent="0.35">
      <c r="A50" s="33" t="s">
        <v>88</v>
      </c>
      <c r="B50" s="34" t="s">
        <v>83</v>
      </c>
      <c r="C50" s="35" t="s">
        <v>84</v>
      </c>
      <c r="D50" s="36" t="s">
        <v>89</v>
      </c>
      <c r="E50" s="37" t="s">
        <v>86</v>
      </c>
      <c r="F50" s="315"/>
    </row>
    <row r="51" spans="1:6" x14ac:dyDescent="0.35">
      <c r="A51" s="38" t="s">
        <v>272</v>
      </c>
      <c r="B51" s="34">
        <v>1</v>
      </c>
      <c r="C51" s="35">
        <v>22.7</v>
      </c>
      <c r="D51" s="39">
        <v>539456.24067333317</v>
      </c>
      <c r="E51" s="37">
        <f>B51*C51*D51</f>
        <v>12245656.663284663</v>
      </c>
      <c r="F51" s="316"/>
    </row>
    <row r="52" spans="1:6" x14ac:dyDescent="0.35">
      <c r="A52" s="107" t="s">
        <v>273</v>
      </c>
      <c r="B52" s="20">
        <v>1</v>
      </c>
      <c r="C52" s="40">
        <v>22.7</v>
      </c>
      <c r="D52" s="39">
        <v>539456.24067333317</v>
      </c>
      <c r="E52" s="21">
        <f t="shared" ref="E52:E58" si="2">B52*C52*D52</f>
        <v>12245656.663284663</v>
      </c>
      <c r="F52" s="316"/>
    </row>
    <row r="53" spans="1:6" x14ac:dyDescent="0.35">
      <c r="A53" s="107" t="s">
        <v>277</v>
      </c>
      <c r="B53" s="20">
        <v>1</v>
      </c>
      <c r="C53" s="35"/>
      <c r="D53" s="39">
        <v>539456.24067333317</v>
      </c>
      <c r="E53" s="21">
        <f>B53*C53*D53</f>
        <v>0</v>
      </c>
      <c r="F53" s="316"/>
    </row>
    <row r="54" spans="1:6" x14ac:dyDescent="0.35">
      <c r="A54" s="107" t="s">
        <v>278</v>
      </c>
      <c r="B54" s="20">
        <v>1.5</v>
      </c>
      <c r="C54" s="35"/>
      <c r="D54" s="39">
        <v>434781.13826000009</v>
      </c>
      <c r="E54" s="21">
        <f>B54*C54*D54</f>
        <v>0</v>
      </c>
      <c r="F54" s="316"/>
    </row>
    <row r="55" spans="1:6" x14ac:dyDescent="0.35">
      <c r="A55" s="107" t="s">
        <v>276</v>
      </c>
      <c r="B55" s="20">
        <v>2</v>
      </c>
      <c r="C55" s="35"/>
      <c r="D55" s="39">
        <v>434781.13826000009</v>
      </c>
      <c r="E55" s="21">
        <f>B55*C55*D55</f>
        <v>0</v>
      </c>
      <c r="F55" s="316"/>
    </row>
    <row r="56" spans="1:6" x14ac:dyDescent="0.35">
      <c r="A56" s="107" t="s">
        <v>274</v>
      </c>
      <c r="B56" s="20">
        <v>2</v>
      </c>
      <c r="C56" s="35">
        <v>22.7</v>
      </c>
      <c r="D56" s="39">
        <v>399154.66304000001</v>
      </c>
      <c r="E56" s="21">
        <f t="shared" si="2"/>
        <v>18121621.702016</v>
      </c>
      <c r="F56" s="316"/>
    </row>
    <row r="57" spans="1:6" x14ac:dyDescent="0.35">
      <c r="A57" s="107" t="s">
        <v>223</v>
      </c>
      <c r="B57" s="20">
        <v>1</v>
      </c>
      <c r="C57" s="35">
        <v>22.7</v>
      </c>
      <c r="D57" s="39">
        <v>383405.20943333331</v>
      </c>
      <c r="E57" s="21">
        <f>B57*C57*D57</f>
        <v>8703298.2541366667</v>
      </c>
      <c r="F57" s="316"/>
    </row>
    <row r="58" spans="1:6" x14ac:dyDescent="0.35">
      <c r="A58" s="107" t="s">
        <v>275</v>
      </c>
      <c r="B58" s="117">
        <v>10</v>
      </c>
      <c r="C58" s="118">
        <v>22.7</v>
      </c>
      <c r="D58" s="119">
        <v>355463.24792666658</v>
      </c>
      <c r="E58" s="120">
        <f t="shared" si="2"/>
        <v>80690157.279353306</v>
      </c>
      <c r="F58" s="316"/>
    </row>
    <row r="59" spans="1:6" x14ac:dyDescent="0.35">
      <c r="A59" s="287"/>
      <c r="B59" s="287"/>
      <c r="C59" s="287"/>
      <c r="D59" s="287"/>
      <c r="E59" s="287"/>
      <c r="F59" s="121">
        <f>SUM(E51:E58)</f>
        <v>132006390.5620753</v>
      </c>
    </row>
    <row r="60" spans="1:6" x14ac:dyDescent="0.35">
      <c r="A60" s="33" t="s">
        <v>279</v>
      </c>
      <c r="B60" s="34" t="s">
        <v>83</v>
      </c>
      <c r="C60" s="35" t="s">
        <v>84</v>
      </c>
      <c r="D60" s="36" t="s">
        <v>269</v>
      </c>
      <c r="E60" s="37" t="s">
        <v>86</v>
      </c>
      <c r="F60" s="62"/>
    </row>
    <row r="61" spans="1:6" x14ac:dyDescent="0.35">
      <c r="A61" s="164" t="s">
        <v>240</v>
      </c>
      <c r="B61" s="108">
        <v>1</v>
      </c>
      <c r="C61" s="108"/>
      <c r="D61" s="108">
        <f>IFERROR(VLOOKUP(A61,[1]!TablaTransporte[#Data],2,FALSE),0)</f>
        <v>550000</v>
      </c>
      <c r="E61" s="110">
        <f>B61*C61*D61</f>
        <v>0</v>
      </c>
      <c r="F61" s="170"/>
    </row>
    <row r="62" spans="1:6" x14ac:dyDescent="0.35">
      <c r="A62" s="164" t="s">
        <v>241</v>
      </c>
      <c r="B62" s="108">
        <v>1</v>
      </c>
      <c r="C62" s="108"/>
      <c r="D62" s="108">
        <f>IFERROR(VLOOKUP(A62,[1]!TablaTransporte[#Data],2,FALSE),0)</f>
        <v>65000</v>
      </c>
      <c r="E62" s="110">
        <f t="shared" ref="E62:E73" si="3">B62*C62*D62</f>
        <v>0</v>
      </c>
      <c r="F62" s="171"/>
    </row>
    <row r="63" spans="1:6" x14ac:dyDescent="0.35">
      <c r="A63" s="164" t="s">
        <v>246</v>
      </c>
      <c r="B63" s="108">
        <v>1</v>
      </c>
      <c r="C63" s="108"/>
      <c r="D63" s="108">
        <f>IFERROR(VLOOKUP(A63,[1]!TablaTransporte[#Data],2,FALSE),0)</f>
        <v>322000</v>
      </c>
      <c r="E63" s="110">
        <f t="shared" si="3"/>
        <v>0</v>
      </c>
      <c r="F63" s="171"/>
    </row>
    <row r="64" spans="1:6" x14ac:dyDescent="0.35">
      <c r="A64" s="164" t="s">
        <v>244</v>
      </c>
      <c r="B64" s="128"/>
      <c r="C64" s="128"/>
      <c r="D64" s="128">
        <f>IFERROR(VLOOKUP(A64,[1]!TablaTransporte[#Data],2,FALSE),0)</f>
        <v>190000</v>
      </c>
      <c r="E64" s="110">
        <f t="shared" si="3"/>
        <v>0</v>
      </c>
      <c r="F64" s="171"/>
    </row>
    <row r="65" spans="1:6" x14ac:dyDescent="0.35">
      <c r="A65" s="164" t="s">
        <v>245</v>
      </c>
      <c r="B65" s="128">
        <v>1</v>
      </c>
      <c r="C65" s="128">
        <v>13</v>
      </c>
      <c r="D65" s="108">
        <f>IFERROR(VLOOKUP(A65,[1]!TablaTransporte[#Data],2,FALSE),0)</f>
        <v>1350000</v>
      </c>
      <c r="E65" s="110">
        <f t="shared" si="3"/>
        <v>17550000</v>
      </c>
      <c r="F65" s="171"/>
    </row>
    <row r="66" spans="1:6" x14ac:dyDescent="0.35">
      <c r="A66" s="164" t="s">
        <v>280</v>
      </c>
      <c r="B66" s="128">
        <v>1</v>
      </c>
      <c r="C66" s="128">
        <v>10</v>
      </c>
      <c r="D66" s="128">
        <f>IFERROR(VLOOKUP(A66,[1]!TablaTransporte[#Data],2,FALSE),0)</f>
        <v>1330000</v>
      </c>
      <c r="E66" s="110">
        <f t="shared" si="3"/>
        <v>13300000</v>
      </c>
      <c r="F66" s="171"/>
    </row>
    <row r="67" spans="1:6" x14ac:dyDescent="0.35">
      <c r="A67" s="164" t="s">
        <v>286</v>
      </c>
      <c r="B67" s="128"/>
      <c r="C67" s="128"/>
      <c r="D67" s="128">
        <f>IFERROR(VLOOKUP(A67,[1]!TablaTransporte[#Data],2,FALSE),0)</f>
        <v>0</v>
      </c>
      <c r="E67" s="110">
        <f t="shared" si="3"/>
        <v>0</v>
      </c>
      <c r="F67" s="171"/>
    </row>
    <row r="68" spans="1:6" x14ac:dyDescent="0.35">
      <c r="A68" s="164" t="s">
        <v>287</v>
      </c>
      <c r="B68" s="128"/>
      <c r="C68" s="128"/>
      <c r="D68" s="128">
        <f>IFERROR(VLOOKUP(A68,[1]!TablaTransporte[#Data],2,FALSE),0)</f>
        <v>0</v>
      </c>
      <c r="E68" s="110">
        <f t="shared" si="3"/>
        <v>0</v>
      </c>
      <c r="F68" s="171"/>
    </row>
    <row r="69" spans="1:6" x14ac:dyDescent="0.35">
      <c r="A69" s="164" t="s">
        <v>388</v>
      </c>
      <c r="B69" s="128">
        <v>1</v>
      </c>
      <c r="C69" s="128">
        <v>4</v>
      </c>
      <c r="D69" s="128">
        <f>IFERROR(VLOOKUP(A69,[1]!TablaTransporte[#Data],2,FALSE),0)</f>
        <v>0</v>
      </c>
      <c r="E69" s="110">
        <f t="shared" si="3"/>
        <v>0</v>
      </c>
      <c r="F69" s="171"/>
    </row>
    <row r="70" spans="1:6" x14ac:dyDescent="0.35">
      <c r="A70" s="164" t="s">
        <v>288</v>
      </c>
      <c r="B70" s="128"/>
      <c r="C70" s="128"/>
      <c r="D70" s="128">
        <f>IFERROR(VLOOKUP(A70,[1]!TablaTransporte[#Data],2,FALSE),0)</f>
        <v>0</v>
      </c>
      <c r="E70" s="110">
        <f t="shared" si="3"/>
        <v>0</v>
      </c>
      <c r="F70" s="171"/>
    </row>
    <row r="71" spans="1:6" x14ac:dyDescent="0.35">
      <c r="A71" s="164" t="s">
        <v>390</v>
      </c>
      <c r="B71" s="128">
        <v>1</v>
      </c>
      <c r="C71" s="128">
        <v>15</v>
      </c>
      <c r="D71" s="128">
        <f>IFERROR(VLOOKUP(A71,[1]!TablaTransporte[#Data],2,FALSE),0)</f>
        <v>1820000</v>
      </c>
      <c r="E71" s="110">
        <f t="shared" si="3"/>
        <v>27300000</v>
      </c>
      <c r="F71" s="171"/>
    </row>
    <row r="72" spans="1:6" x14ac:dyDescent="0.35">
      <c r="A72" s="164" t="s">
        <v>391</v>
      </c>
      <c r="B72" s="128">
        <v>1</v>
      </c>
      <c r="C72" s="128">
        <v>10</v>
      </c>
      <c r="D72" s="128">
        <f>IFERROR(VLOOKUP(A72,[1]!TablaTransporte[#Data],2,FALSE),0)</f>
        <v>0</v>
      </c>
      <c r="E72" s="110">
        <f t="shared" si="3"/>
        <v>0</v>
      </c>
      <c r="F72" s="171"/>
    </row>
    <row r="73" spans="1:6" x14ac:dyDescent="0.35">
      <c r="A73" s="164" t="s">
        <v>392</v>
      </c>
      <c r="B73" s="128">
        <v>1</v>
      </c>
      <c r="C73" s="128">
        <v>13</v>
      </c>
      <c r="D73" s="128">
        <f>IFERROR(VLOOKUP(A73,[1]!TablaTransporte[#Data],2,FALSE),0)</f>
        <v>840000</v>
      </c>
      <c r="E73" s="110">
        <f t="shared" si="3"/>
        <v>10920000</v>
      </c>
      <c r="F73" s="172"/>
    </row>
    <row r="74" spans="1:6" x14ac:dyDescent="0.35">
      <c r="A74" s="319"/>
      <c r="B74" s="320"/>
      <c r="C74" s="320"/>
      <c r="D74" s="320"/>
      <c r="E74" s="321"/>
      <c r="F74" s="42">
        <f>SUM(E61:E66)</f>
        <v>30850000</v>
      </c>
    </row>
    <row r="75" spans="1:6" ht="15" thickBot="1" x14ac:dyDescent="0.4">
      <c r="A75" s="322"/>
      <c r="B75" s="292"/>
      <c r="C75" s="292"/>
      <c r="D75" s="292"/>
      <c r="E75" s="323"/>
      <c r="F75" s="42">
        <f>F27+F49+F59+F74</f>
        <v>169984490.56207532</v>
      </c>
    </row>
    <row r="76" spans="1:6" ht="15" thickBot="1" x14ac:dyDescent="0.4">
      <c r="A76" s="302"/>
      <c r="B76" s="300"/>
      <c r="C76" s="300"/>
      <c r="D76" s="300"/>
      <c r="E76" s="301"/>
      <c r="F76" s="44">
        <f>F75*A76</f>
        <v>0</v>
      </c>
    </row>
    <row r="77" spans="1:6" ht="15" thickBot="1" x14ac:dyDescent="0.4">
      <c r="A77" s="286"/>
      <c r="B77" s="286"/>
      <c r="C77" s="286"/>
      <c r="D77" s="286"/>
      <c r="E77" s="286"/>
      <c r="F77" s="28">
        <f>F75+F76</f>
        <v>169984490.56207532</v>
      </c>
    </row>
    <row r="78" spans="1:6" ht="15" thickBot="1" x14ac:dyDescent="0.4">
      <c r="A78" s="317"/>
      <c r="B78" s="306"/>
      <c r="C78" s="306"/>
      <c r="D78" s="306"/>
      <c r="E78" s="282"/>
      <c r="F78" s="28">
        <f>F77*A78</f>
        <v>0</v>
      </c>
    </row>
    <row r="79" spans="1:6" ht="15" thickBot="1" x14ac:dyDescent="0.4">
      <c r="F79" s="28">
        <f>F77+F78</f>
        <v>169984490.56207532</v>
      </c>
    </row>
    <row r="80" spans="1:6" x14ac:dyDescent="0.35">
      <c r="F80" s="176">
        <f>F79/F3</f>
        <v>233495.17934351004</v>
      </c>
    </row>
  </sheetData>
  <mergeCells count="12">
    <mergeCell ref="A1:F1"/>
    <mergeCell ref="F4:F26"/>
    <mergeCell ref="A27:E27"/>
    <mergeCell ref="F28:F48"/>
    <mergeCell ref="A59:E59"/>
    <mergeCell ref="A49:E49"/>
    <mergeCell ref="F50:F58"/>
    <mergeCell ref="A74:E74"/>
    <mergeCell ref="A75:E75"/>
    <mergeCell ref="A76:E76"/>
    <mergeCell ref="A77:E77"/>
    <mergeCell ref="A78:E78"/>
  </mergeCells>
  <dataValidations count="3">
    <dataValidation type="list" allowBlank="1" showInputMessage="1" showErrorMessage="1" sqref="A29:A49" xr:uid="{5FA4A9D1-494A-4819-AB28-D7FDC8A91DCF}">
      <formula1>ListaMateriales</formula1>
    </dataValidation>
    <dataValidation type="list" allowBlank="1" showInputMessage="1" showErrorMessage="1" sqref="A3:A27" xr:uid="{2DC5499E-8F00-4094-93F7-6BACBEBA1C04}">
      <formula1>ListaEquipos</formula1>
    </dataValidation>
    <dataValidation type="list" allowBlank="1" showInputMessage="1" showErrorMessage="1" sqref="A62 A63 A64 A65 A66 A67 A68 A69 A70 A71 A72 A73" xr:uid="{DF982A29-82F5-4B87-A162-DF90A055512E}">
      <formula1>ListaTransporte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EF72-F06C-4C21-A9F6-E79435B73768}">
  <sheetPr>
    <tabColor rgb="FF00B050"/>
  </sheetPr>
  <dimension ref="A1:H90"/>
  <sheetViews>
    <sheetView topLeftCell="A73" workbookViewId="0">
      <selection activeCell="D4" sqref="D4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181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89</v>
      </c>
    </row>
    <row r="4" spans="1:6" x14ac:dyDescent="0.35">
      <c r="A4" s="24" t="s">
        <v>225</v>
      </c>
      <c r="B4" s="22">
        <v>1</v>
      </c>
      <c r="C4" s="23"/>
      <c r="D4" s="24">
        <f>IFERROR(VLOOKUP(A4,[1]!TablaEquipos[#Data],2,FALSE),0)</f>
        <v>1500</v>
      </c>
      <c r="E4" s="25">
        <f t="shared" ref="E4:E24" si="0">B4*C4*D4</f>
        <v>0</v>
      </c>
      <c r="F4" s="62"/>
    </row>
    <row r="5" spans="1:6" ht="15.5" x14ac:dyDescent="0.35">
      <c r="A5" s="122" t="s">
        <v>300</v>
      </c>
      <c r="B5" s="22">
        <v>1</v>
      </c>
      <c r="C5" s="23"/>
      <c r="D5" s="24">
        <f>IFERROR(VLOOKUP(A5,[1]!TablaEquipos[#Data],2,FALSE),0)</f>
        <v>700</v>
      </c>
      <c r="E5" s="25">
        <f t="shared" si="0"/>
        <v>0</v>
      </c>
      <c r="F5" s="62"/>
    </row>
    <row r="6" spans="1:6" x14ac:dyDescent="0.35">
      <c r="A6" s="26" t="s">
        <v>226</v>
      </c>
      <c r="B6" s="22">
        <v>1</v>
      </c>
      <c r="C6" s="23"/>
      <c r="D6" s="24">
        <f>IFERROR(VLOOKUP(A6,[1]!TablaEquipos[#Data],2,FALSE),0)</f>
        <v>700</v>
      </c>
      <c r="E6" s="25">
        <f t="shared" si="0"/>
        <v>0</v>
      </c>
      <c r="F6" s="62"/>
    </row>
    <row r="7" spans="1:6" x14ac:dyDescent="0.35">
      <c r="A7" s="26" t="s">
        <v>227</v>
      </c>
      <c r="B7" s="22">
        <v>8</v>
      </c>
      <c r="C7" s="23">
        <v>4</v>
      </c>
      <c r="D7" s="24">
        <f>IFERROR(VLOOKUP(A7,[1]!TablaEquipos[#Data],2,FALSE),0)</f>
        <v>700</v>
      </c>
      <c r="E7" s="25">
        <f t="shared" si="0"/>
        <v>22400</v>
      </c>
      <c r="F7" s="62"/>
    </row>
    <row r="8" spans="1:6" x14ac:dyDescent="0.35">
      <c r="A8" s="26" t="s">
        <v>251</v>
      </c>
      <c r="B8" s="22">
        <v>8</v>
      </c>
      <c r="C8" s="23">
        <v>4</v>
      </c>
      <c r="D8" s="24">
        <f>IFERROR(VLOOKUP(A8,[1]!TablaEquipos[#Data],2,FALSE),0)</f>
        <v>700</v>
      </c>
      <c r="E8" s="25">
        <f t="shared" si="0"/>
        <v>22400</v>
      </c>
      <c r="F8" s="62"/>
    </row>
    <row r="9" spans="1:6" x14ac:dyDescent="0.35">
      <c r="A9" s="26" t="s">
        <v>252</v>
      </c>
      <c r="B9" s="22"/>
      <c r="C9" s="23"/>
      <c r="D9" s="24">
        <f>IFERROR(VLOOKUP(A9,[1]!TablaEquipos[#Data],2,FALSE),0)</f>
        <v>700</v>
      </c>
      <c r="E9" s="25">
        <f t="shared" si="0"/>
        <v>0</v>
      </c>
      <c r="F9" s="62"/>
    </row>
    <row r="10" spans="1:6" x14ac:dyDescent="0.35">
      <c r="A10" s="26" t="s">
        <v>231</v>
      </c>
      <c r="B10" s="22">
        <v>4</v>
      </c>
      <c r="C10" s="23"/>
      <c r="D10" s="24">
        <f>IFERROR(VLOOKUP(A10,[1]!TablaEquipos[#Data],2,FALSE),0)</f>
        <v>1500</v>
      </c>
      <c r="E10" s="25">
        <f t="shared" si="0"/>
        <v>0</v>
      </c>
      <c r="F10" s="62"/>
    </row>
    <row r="11" spans="1:6" x14ac:dyDescent="0.35">
      <c r="A11" s="24" t="s">
        <v>228</v>
      </c>
      <c r="B11" s="22">
        <v>1</v>
      </c>
      <c r="C11" s="23">
        <v>4</v>
      </c>
      <c r="D11" s="24">
        <f>IFERROR(VLOOKUP(A11,[1]!TablaEquipos[#Data],2,FALSE),0)</f>
        <v>1500</v>
      </c>
      <c r="E11" s="25">
        <f t="shared" si="0"/>
        <v>6000</v>
      </c>
      <c r="F11" s="62"/>
    </row>
    <row r="12" spans="1:6" x14ac:dyDescent="0.35">
      <c r="A12" s="24" t="s">
        <v>224</v>
      </c>
      <c r="B12" s="22">
        <v>1</v>
      </c>
      <c r="C12" s="23"/>
      <c r="D12" s="24">
        <f>IFERROR(VLOOKUP(A12,[1]!TablaEquipos[#Data],2,FALSE),0)</f>
        <v>1500</v>
      </c>
      <c r="E12" s="25">
        <f t="shared" si="0"/>
        <v>0</v>
      </c>
      <c r="F12" s="62"/>
    </row>
    <row r="13" spans="1:6" x14ac:dyDescent="0.35">
      <c r="A13" s="26" t="s">
        <v>230</v>
      </c>
      <c r="B13" s="22">
        <v>1</v>
      </c>
      <c r="C13" s="23"/>
      <c r="D13" s="24">
        <f>IFERROR(VLOOKUP(A13,[1]!TablaEquipos[#Data],2,FALSE),0)</f>
        <v>15000</v>
      </c>
      <c r="E13" s="25">
        <f t="shared" si="0"/>
        <v>0</v>
      </c>
      <c r="F13" s="62"/>
    </row>
    <row r="14" spans="1:6" x14ac:dyDescent="0.35">
      <c r="A14" s="81" t="s">
        <v>232</v>
      </c>
      <c r="B14" s="82"/>
      <c r="C14" s="32"/>
      <c r="D14" s="24">
        <f>IFERROR(VLOOKUP(A14,[1]!TablaEquipos[#Data],2,FALSE),0)</f>
        <v>500</v>
      </c>
      <c r="E14" s="25">
        <f t="shared" si="0"/>
        <v>0</v>
      </c>
      <c r="F14" s="62"/>
    </row>
    <row r="15" spans="1:6" x14ac:dyDescent="0.35">
      <c r="A15" s="24" t="s">
        <v>233</v>
      </c>
      <c r="B15" s="22"/>
      <c r="C15" s="23"/>
      <c r="D15" s="24">
        <f>IFERROR(VLOOKUP(A15,[1]!TablaEquipos[#Data],2,FALSE),0)</f>
        <v>500</v>
      </c>
      <c r="E15" s="25">
        <f t="shared" si="0"/>
        <v>0</v>
      </c>
      <c r="F15" s="62"/>
    </row>
    <row r="16" spans="1:6" x14ac:dyDescent="0.35">
      <c r="A16" s="24" t="s">
        <v>234</v>
      </c>
      <c r="B16" s="22"/>
      <c r="C16" s="23"/>
      <c r="D16" s="24">
        <f>IFERROR(VLOOKUP(A16,[1]!TablaEquipos[#Data],2,FALSE),0)</f>
        <v>135000</v>
      </c>
      <c r="E16" s="25">
        <f t="shared" si="0"/>
        <v>0</v>
      </c>
      <c r="F16" s="62"/>
    </row>
    <row r="17" spans="1:6" x14ac:dyDescent="0.35">
      <c r="A17" s="24" t="s">
        <v>235</v>
      </c>
      <c r="B17" s="22"/>
      <c r="C17" s="23"/>
      <c r="D17" s="24">
        <f>IFERROR(VLOOKUP(A17,[1]!TablaEquipos[#Data],2,FALSE),0)</f>
        <v>0</v>
      </c>
      <c r="E17" s="25">
        <f t="shared" si="0"/>
        <v>0</v>
      </c>
      <c r="F17" s="62"/>
    </row>
    <row r="18" spans="1:6" x14ac:dyDescent="0.35">
      <c r="A18" s="24" t="s">
        <v>236</v>
      </c>
      <c r="B18" s="22"/>
      <c r="C18" s="23"/>
      <c r="D18" s="24">
        <f>IFERROR(VLOOKUP(A18,[1]!TablaEquipos[#Data],2,FALSE),0)</f>
        <v>9000</v>
      </c>
      <c r="E18" s="25">
        <f t="shared" si="0"/>
        <v>0</v>
      </c>
      <c r="F18" s="62"/>
    </row>
    <row r="19" spans="1:6" x14ac:dyDescent="0.35">
      <c r="A19" s="24" t="s">
        <v>237</v>
      </c>
      <c r="B19" s="22"/>
      <c r="C19" s="23"/>
      <c r="D19" s="24">
        <f>IFERROR(VLOOKUP(A19,[1]!TablaEquipos[#Data],2,FALSE),0)</f>
        <v>1000</v>
      </c>
      <c r="E19" s="25">
        <f t="shared" si="0"/>
        <v>0</v>
      </c>
      <c r="F19" s="62"/>
    </row>
    <row r="20" spans="1:6" x14ac:dyDescent="0.35">
      <c r="A20" s="24" t="s">
        <v>229</v>
      </c>
      <c r="B20" s="22">
        <v>4</v>
      </c>
      <c r="C20" s="23">
        <v>4</v>
      </c>
      <c r="D20" s="24">
        <f>IFERROR(VLOOKUP(A20,[1]!TablaEquipos[#Data],2,FALSE),0)</f>
        <v>1500</v>
      </c>
      <c r="E20" s="25">
        <f t="shared" si="0"/>
        <v>24000</v>
      </c>
      <c r="F20" s="62"/>
    </row>
    <row r="21" spans="1:6" ht="23" x14ac:dyDescent="0.35">
      <c r="A21" s="26" t="s">
        <v>247</v>
      </c>
      <c r="B21" s="22"/>
      <c r="C21" s="23"/>
      <c r="D21" s="24">
        <f>IFERROR(VLOOKUP(A21,[1]!TablaEquipos[#Data],2,FALSE),0)</f>
        <v>80000</v>
      </c>
      <c r="E21" s="25">
        <f t="shared" si="0"/>
        <v>0</v>
      </c>
      <c r="F21" s="62"/>
    </row>
    <row r="22" spans="1:6" ht="15.5" x14ac:dyDescent="0.35">
      <c r="A22" s="105" t="s">
        <v>248</v>
      </c>
      <c r="B22" s="22">
        <v>1</v>
      </c>
      <c r="C22" s="23"/>
      <c r="D22" s="24">
        <f>IFERROR(VLOOKUP(A22,[1]!TablaEquipos[#Data],2,FALSE),0)</f>
        <v>100000</v>
      </c>
      <c r="E22" s="25">
        <f t="shared" si="0"/>
        <v>0</v>
      </c>
      <c r="F22" s="62"/>
    </row>
    <row r="23" spans="1:6" ht="31" x14ac:dyDescent="0.35">
      <c r="A23" s="104" t="s">
        <v>249</v>
      </c>
      <c r="B23" s="22">
        <v>1</v>
      </c>
      <c r="C23" s="23"/>
      <c r="D23" s="24">
        <f>IFERROR(VLOOKUP(A23,[1]!TablaEquipos[#Data],2,FALSE),0)</f>
        <v>40000</v>
      </c>
      <c r="E23" s="25">
        <f t="shared" si="0"/>
        <v>0</v>
      </c>
      <c r="F23" s="62"/>
    </row>
    <row r="24" spans="1:6" ht="31" x14ac:dyDescent="0.35">
      <c r="A24" s="104" t="s">
        <v>250</v>
      </c>
      <c r="B24" s="22">
        <v>1</v>
      </c>
      <c r="C24" s="23"/>
      <c r="D24" s="24">
        <f>IFERROR(VLOOKUP(A24,[1]!TablaEquipos[#Data],2,FALSE),0)</f>
        <v>60000</v>
      </c>
      <c r="E24" s="25">
        <f t="shared" si="0"/>
        <v>0</v>
      </c>
      <c r="F24" s="62"/>
    </row>
    <row r="25" spans="1:6" ht="15.5" x14ac:dyDescent="0.35">
      <c r="A25" s="104" t="s">
        <v>406</v>
      </c>
      <c r="B25" s="22">
        <v>16</v>
      </c>
      <c r="C25" s="23">
        <v>4</v>
      </c>
      <c r="D25" s="24">
        <f>IFERROR(VLOOKUP(A25,[1]!TablaEquipos[#Data],2,FALSE),0)</f>
        <v>1000</v>
      </c>
      <c r="E25" s="25">
        <f>B25*C25*D25</f>
        <v>64000</v>
      </c>
      <c r="F25" s="62"/>
    </row>
    <row r="26" spans="1:6" ht="15.5" x14ac:dyDescent="0.35">
      <c r="A26" s="104" t="s">
        <v>242</v>
      </c>
      <c r="B26" s="22">
        <v>30</v>
      </c>
      <c r="C26" s="23">
        <v>4</v>
      </c>
      <c r="D26" s="24">
        <f>IFERROR(VLOOKUP(A26,[1]!TablaEquipos[#Data],2,FALSE),0)</f>
        <v>1000</v>
      </c>
      <c r="E26" s="25">
        <f>B26*C26*D26</f>
        <v>120000</v>
      </c>
      <c r="F26" s="62"/>
    </row>
    <row r="27" spans="1:6" ht="15.5" x14ac:dyDescent="0.35">
      <c r="A27" s="104" t="s">
        <v>407</v>
      </c>
      <c r="B27" s="22">
        <v>1</v>
      </c>
      <c r="C27" s="23">
        <v>4</v>
      </c>
      <c r="D27" s="24">
        <f>IFERROR(VLOOKUP(A27,[1]!TablaEquipos[#Data],2,FALSE),0)</f>
        <v>8000</v>
      </c>
      <c r="E27" s="25">
        <f>B27*C27*D27</f>
        <v>32000</v>
      </c>
      <c r="F27" s="62"/>
    </row>
    <row r="28" spans="1:6" ht="15.5" x14ac:dyDescent="0.35">
      <c r="A28" s="122" t="s">
        <v>301</v>
      </c>
      <c r="B28" s="22">
        <v>2</v>
      </c>
      <c r="C28" s="23">
        <v>4</v>
      </c>
      <c r="D28" s="24">
        <f>IFERROR(VLOOKUP(A28,[1]!TablaEquipos[#Data],2,FALSE),0)</f>
        <v>500</v>
      </c>
      <c r="E28" s="25">
        <f>B28*C28*D28</f>
        <v>4000</v>
      </c>
      <c r="F28" s="62"/>
    </row>
    <row r="29" spans="1:6" ht="15.5" x14ac:dyDescent="0.35">
      <c r="A29" s="122" t="s">
        <v>347</v>
      </c>
      <c r="B29" s="123">
        <v>2</v>
      </c>
      <c r="C29" s="175">
        <v>4</v>
      </c>
      <c r="D29" s="24">
        <f>IFERROR(VLOOKUP(A29,[1]!TablaEquipos[#Data],2,FALSE),0)</f>
        <v>625</v>
      </c>
      <c r="E29" s="25">
        <f>B29*C29*D29</f>
        <v>5000</v>
      </c>
      <c r="F29" s="62"/>
    </row>
    <row r="30" spans="1:6" ht="15" thickBot="1" x14ac:dyDescent="0.4">
      <c r="A30" s="294"/>
      <c r="B30" s="295"/>
      <c r="C30" s="295"/>
      <c r="D30" s="295"/>
      <c r="E30" s="295"/>
      <c r="F30" s="84">
        <f>SUM(E4:E29)</f>
        <v>299800</v>
      </c>
    </row>
    <row r="31" spans="1:6" x14ac:dyDescent="0.35">
      <c r="A31" s="33" t="s">
        <v>270</v>
      </c>
      <c r="B31" s="34" t="s">
        <v>83</v>
      </c>
      <c r="C31" s="45" t="s">
        <v>84</v>
      </c>
      <c r="D31" s="46" t="s">
        <v>269</v>
      </c>
      <c r="E31" s="37" t="s">
        <v>86</v>
      </c>
      <c r="F31" s="324"/>
    </row>
    <row r="32" spans="1:6" x14ac:dyDescent="0.35">
      <c r="A32" s="26" t="s">
        <v>253</v>
      </c>
      <c r="B32" s="22">
        <v>5</v>
      </c>
      <c r="C32" s="29"/>
      <c r="D32" s="27">
        <f>IFERROR(VLOOKUP(A32,[1]!TablaMateriales[#Data],2,FALSE),0)</f>
        <v>35000</v>
      </c>
      <c r="E32" s="25">
        <f>B32*D32</f>
        <v>175000</v>
      </c>
      <c r="F32" s="282"/>
    </row>
    <row r="33" spans="1:6" x14ac:dyDescent="0.35">
      <c r="A33" s="30" t="s">
        <v>254</v>
      </c>
      <c r="B33" s="22">
        <v>5</v>
      </c>
      <c r="C33" s="29"/>
      <c r="D33" s="27">
        <f>IFERROR(VLOOKUP(A33,[1]!TablaMateriales[#Data],2,FALSE),0)</f>
        <v>20000</v>
      </c>
      <c r="E33" s="25">
        <f>B33*D33</f>
        <v>100000</v>
      </c>
      <c r="F33" s="282"/>
    </row>
    <row r="34" spans="1:6" x14ac:dyDescent="0.35">
      <c r="A34" s="30" t="s">
        <v>255</v>
      </c>
      <c r="B34" s="22"/>
      <c r="C34" s="29"/>
      <c r="D34" s="27">
        <f>IFERROR(VLOOKUP(A34,[1]!TablaMateriales[#Data],2,FALSE),0)</f>
        <v>50000</v>
      </c>
      <c r="E34" s="25">
        <f>B34*D34</f>
        <v>0</v>
      </c>
      <c r="F34" s="282"/>
    </row>
    <row r="35" spans="1:6" x14ac:dyDescent="0.35">
      <c r="A35" s="30" t="s">
        <v>256</v>
      </c>
      <c r="B35" s="22"/>
      <c r="C35" s="29"/>
      <c r="D35" s="27">
        <f>IFERROR(VLOOKUP(A35,[1]!TablaMateriales[#Data],2,FALSE),0)</f>
        <v>0</v>
      </c>
      <c r="E35" s="25">
        <f>B35*D35</f>
        <v>0</v>
      </c>
      <c r="F35" s="282"/>
    </row>
    <row r="36" spans="1:6" x14ac:dyDescent="0.35">
      <c r="A36" s="30" t="s">
        <v>257</v>
      </c>
      <c r="B36" s="78"/>
      <c r="C36" s="23"/>
      <c r="D36" s="27">
        <f>IFERROR(VLOOKUP(A36,[1]!TablaMateriales[#Data],2,FALSE),0)</f>
        <v>9500</v>
      </c>
      <c r="E36" s="25">
        <f>B36*D36</f>
        <v>0</v>
      </c>
      <c r="F36" s="282"/>
    </row>
    <row r="37" spans="1:6" x14ac:dyDescent="0.35">
      <c r="A37" s="30" t="s">
        <v>258</v>
      </c>
      <c r="B37" s="78"/>
      <c r="C37" s="23"/>
      <c r="D37" s="27">
        <f>IFERROR(VLOOKUP(A37,[1]!TablaMateriales[#Data],2,FALSE),0)</f>
        <v>9500</v>
      </c>
      <c r="E37" s="25">
        <f t="shared" ref="E37:E52" si="1">B37*D37</f>
        <v>0</v>
      </c>
      <c r="F37" s="282"/>
    </row>
    <row r="38" spans="1:6" x14ac:dyDescent="0.35">
      <c r="A38" s="30" t="s">
        <v>259</v>
      </c>
      <c r="B38" s="78"/>
      <c r="C38" s="23"/>
      <c r="D38" s="27">
        <f>IFERROR(VLOOKUP(A38,[1]!TablaMateriales[#Data],2,FALSE),0)</f>
        <v>15000</v>
      </c>
      <c r="E38" s="25">
        <f t="shared" si="1"/>
        <v>0</v>
      </c>
      <c r="F38" s="282"/>
    </row>
    <row r="39" spans="1:6" x14ac:dyDescent="0.35">
      <c r="A39" s="30" t="s">
        <v>260</v>
      </c>
      <c r="B39" s="78"/>
      <c r="C39" s="23"/>
      <c r="D39" s="27">
        <f>IFERROR(VLOOKUP(A39,[1]!TablaMateriales[#Data],2,FALSE),0)</f>
        <v>20000</v>
      </c>
      <c r="E39" s="25">
        <f t="shared" si="1"/>
        <v>0</v>
      </c>
      <c r="F39" s="282"/>
    </row>
    <row r="40" spans="1:6" ht="23" x14ac:dyDescent="0.35">
      <c r="A40" s="79" t="s">
        <v>261</v>
      </c>
      <c r="B40" s="85">
        <v>3</v>
      </c>
      <c r="C40" s="23"/>
      <c r="D40" s="27">
        <f>IFERROR(VLOOKUP(A40,[1]!TablaMateriales[#Data],2,FALSE),0)</f>
        <v>55000</v>
      </c>
      <c r="E40" s="25">
        <f t="shared" si="1"/>
        <v>165000</v>
      </c>
      <c r="F40" s="282"/>
    </row>
    <row r="41" spans="1:6" x14ac:dyDescent="0.35">
      <c r="A41" s="30" t="s">
        <v>262</v>
      </c>
      <c r="B41" s="78"/>
      <c r="C41" s="23"/>
      <c r="D41" s="27">
        <f>IFERROR(VLOOKUP(A41,[1]!TablaMateriales[#Data],2,FALSE),0)</f>
        <v>15900</v>
      </c>
      <c r="E41" s="25">
        <f t="shared" si="1"/>
        <v>0</v>
      </c>
      <c r="F41" s="282"/>
    </row>
    <row r="42" spans="1:6" x14ac:dyDescent="0.35">
      <c r="A42" s="31" t="s">
        <v>263</v>
      </c>
      <c r="B42" s="78"/>
      <c r="C42" s="23"/>
      <c r="D42" s="27">
        <f>IFERROR(VLOOKUP(A42,[1]!TablaMateriales[#Data],2,FALSE),0)</f>
        <v>14000</v>
      </c>
      <c r="E42" s="25">
        <f t="shared" si="1"/>
        <v>0</v>
      </c>
      <c r="F42" s="282"/>
    </row>
    <row r="43" spans="1:6" x14ac:dyDescent="0.35">
      <c r="A43" s="31" t="s">
        <v>264</v>
      </c>
      <c r="B43" s="78"/>
      <c r="C43" s="23"/>
      <c r="D43" s="27">
        <f>IFERROR(VLOOKUP(A43,[1]!TablaMateriales[#Data],2,FALSE),0)</f>
        <v>3800</v>
      </c>
      <c r="E43" s="27">
        <f t="shared" si="1"/>
        <v>0</v>
      </c>
      <c r="F43" s="282"/>
    </row>
    <row r="44" spans="1:6" x14ac:dyDescent="0.35">
      <c r="A44" s="31" t="s">
        <v>265</v>
      </c>
      <c r="B44" s="78"/>
      <c r="C44" s="23"/>
      <c r="D44" s="27">
        <f>IFERROR(VLOOKUP(A44,[1]!TablaMateriales[#Data],2,FALSE),0)</f>
        <v>65000</v>
      </c>
      <c r="E44" s="27">
        <f t="shared" si="1"/>
        <v>0</v>
      </c>
      <c r="F44" s="282"/>
    </row>
    <row r="45" spans="1:6" x14ac:dyDescent="0.35">
      <c r="A45" s="31" t="s">
        <v>266</v>
      </c>
      <c r="B45" s="78"/>
      <c r="C45" s="23"/>
      <c r="D45" s="27">
        <f>IFERROR(VLOOKUP(A45,[1]!TablaMateriales[#Data],2,FALSE),0)</f>
        <v>65000</v>
      </c>
      <c r="E45" s="27">
        <f t="shared" si="1"/>
        <v>0</v>
      </c>
      <c r="F45" s="282"/>
    </row>
    <row r="46" spans="1:6" x14ac:dyDescent="0.35">
      <c r="A46" s="31" t="s">
        <v>267</v>
      </c>
      <c r="B46" s="78"/>
      <c r="C46" s="23"/>
      <c r="D46" s="27">
        <f>IFERROR(VLOOKUP(A46,[1]!TablaMateriales[#Data],2,FALSE),0)</f>
        <v>65000</v>
      </c>
      <c r="E46" s="27">
        <f t="shared" si="1"/>
        <v>0</v>
      </c>
      <c r="F46" s="282"/>
    </row>
    <row r="47" spans="1:6" x14ac:dyDescent="0.35">
      <c r="A47" s="124" t="s">
        <v>243</v>
      </c>
      <c r="B47" s="78">
        <v>100</v>
      </c>
      <c r="C47" s="23"/>
      <c r="D47" s="27">
        <f>IFERROR(VLOOKUP(A47,[1]!TablaMateriales[#Data],2,FALSE),0)</f>
        <v>9500</v>
      </c>
      <c r="E47" s="27">
        <f t="shared" si="1"/>
        <v>950000</v>
      </c>
      <c r="F47" s="282"/>
    </row>
    <row r="48" spans="1:6" x14ac:dyDescent="0.35">
      <c r="A48" s="125" t="s">
        <v>353</v>
      </c>
      <c r="B48" s="113"/>
      <c r="C48" s="32"/>
      <c r="D48" s="27">
        <f>IFERROR(VLOOKUP(A48,[1]!TablaMateriales[#Data],2,FALSE),0)</f>
        <v>0</v>
      </c>
      <c r="E48" s="27">
        <f t="shared" si="1"/>
        <v>0</v>
      </c>
      <c r="F48" s="282"/>
    </row>
    <row r="49" spans="1:6" ht="15.5" x14ac:dyDescent="0.35">
      <c r="A49" s="111" t="s">
        <v>361</v>
      </c>
      <c r="B49" s="78"/>
      <c r="C49" s="23"/>
      <c r="D49" s="27">
        <f>IFERROR(VLOOKUP(A49,[1]!TablaMateriales[#Data],2,FALSE),0)</f>
        <v>0</v>
      </c>
      <c r="E49" s="27">
        <f t="shared" si="1"/>
        <v>0</v>
      </c>
      <c r="F49" s="282"/>
    </row>
    <row r="50" spans="1:6" ht="15.5" x14ac:dyDescent="0.35">
      <c r="A50" s="111" t="s">
        <v>362</v>
      </c>
      <c r="B50" s="78"/>
      <c r="C50" s="23"/>
      <c r="D50" s="27">
        <f>IFERROR(VLOOKUP(A50,[1]!TablaMateriales[#Data],2,FALSE),0)</f>
        <v>0</v>
      </c>
      <c r="E50" s="27">
        <f t="shared" si="1"/>
        <v>0</v>
      </c>
      <c r="F50" s="282"/>
    </row>
    <row r="51" spans="1:6" ht="16" thickBot="1" x14ac:dyDescent="0.4">
      <c r="A51" s="133" t="s">
        <v>316</v>
      </c>
      <c r="B51" s="78"/>
      <c r="C51" s="23"/>
      <c r="D51" s="27">
        <f>IFERROR(VLOOKUP(A51,[1]!TablaMateriales[#Data],2,FALSE),0)</f>
        <v>32500</v>
      </c>
      <c r="E51" s="27">
        <f t="shared" si="1"/>
        <v>0</v>
      </c>
      <c r="F51" s="323"/>
    </row>
    <row r="52" spans="1:6" ht="15.5" x14ac:dyDescent="0.35">
      <c r="A52" s="133" t="s">
        <v>317</v>
      </c>
      <c r="B52" s="78"/>
      <c r="C52" s="23"/>
      <c r="D52" s="27">
        <f>IFERROR(VLOOKUP(A52,[1]!TablaMateriales[#Data],2,FALSE),0)</f>
        <v>27500</v>
      </c>
      <c r="E52" s="27">
        <f t="shared" si="1"/>
        <v>0</v>
      </c>
      <c r="F52" s="102"/>
    </row>
    <row r="53" spans="1:6" ht="15.5" x14ac:dyDescent="0.35">
      <c r="A53" s="122" t="s">
        <v>318</v>
      </c>
      <c r="B53" s="78"/>
      <c r="C53" s="23"/>
      <c r="D53" s="27">
        <f>IFERROR(VLOOKUP(A53,[1]!TablaMateriales[#Data],2,FALSE),0)</f>
        <v>30000</v>
      </c>
      <c r="E53" s="27">
        <f t="shared" ref="E53:E58" si="2">B53*D53</f>
        <v>0</v>
      </c>
      <c r="F53" s="102"/>
    </row>
    <row r="54" spans="1:6" x14ac:dyDescent="0.35">
      <c r="A54" s="126" t="s">
        <v>405</v>
      </c>
      <c r="B54" s="78">
        <v>89</v>
      </c>
      <c r="C54" s="23"/>
      <c r="D54" s="27">
        <f>IFERROR(VLOOKUP(A54,[1]!TablaMateriales[#Data],2,FALSE),0)</f>
        <v>0</v>
      </c>
      <c r="E54" s="27">
        <f t="shared" si="2"/>
        <v>0</v>
      </c>
      <c r="F54" s="102"/>
    </row>
    <row r="55" spans="1:6" x14ac:dyDescent="0.35">
      <c r="A55" s="126" t="s">
        <v>387</v>
      </c>
      <c r="B55" s="78">
        <v>50</v>
      </c>
      <c r="C55" s="23"/>
      <c r="D55" s="27">
        <f>IFERROR(VLOOKUP(A55,[1]!TablaMateriales[#Data],2,FALSE),0)</f>
        <v>6000</v>
      </c>
      <c r="E55" s="27">
        <f t="shared" si="2"/>
        <v>300000</v>
      </c>
      <c r="F55" s="102"/>
    </row>
    <row r="56" spans="1:6" x14ac:dyDescent="0.35">
      <c r="A56" s="126"/>
      <c r="B56" s="78"/>
      <c r="C56" s="23"/>
      <c r="D56" s="27">
        <f>IFERROR(VLOOKUP(A56,[1]!TablaMateriales[#Data],2,FALSE),0)</f>
        <v>0</v>
      </c>
      <c r="E56" s="27">
        <f t="shared" si="2"/>
        <v>0</v>
      </c>
      <c r="F56" s="102"/>
    </row>
    <row r="57" spans="1:6" x14ac:dyDescent="0.35">
      <c r="A57" s="126"/>
      <c r="B57" s="78"/>
      <c r="C57" s="23"/>
      <c r="D57" s="27">
        <f>IFERROR(VLOOKUP(A57,[1]!TablaMateriales[#Data],2,FALSE),0)</f>
        <v>0</v>
      </c>
      <c r="E57" s="27">
        <f t="shared" si="2"/>
        <v>0</v>
      </c>
      <c r="F57" s="102"/>
    </row>
    <row r="58" spans="1:6" x14ac:dyDescent="0.35">
      <c r="A58" s="126"/>
      <c r="B58" s="78"/>
      <c r="C58" s="23"/>
      <c r="D58" s="27">
        <f>IFERROR(VLOOKUP(A58,[1]!TablaMateriales[#Data],2,FALSE),0)</f>
        <v>0</v>
      </c>
      <c r="E58" s="27">
        <f t="shared" si="2"/>
        <v>0</v>
      </c>
      <c r="F58" s="102"/>
    </row>
    <row r="59" spans="1:6" ht="15" thickBot="1" x14ac:dyDescent="0.4">
      <c r="A59" s="126"/>
      <c r="B59" s="78"/>
      <c r="C59" s="23"/>
      <c r="D59" s="27"/>
      <c r="E59" s="27"/>
      <c r="F59" s="102"/>
    </row>
    <row r="60" spans="1:6" x14ac:dyDescent="0.35">
      <c r="A60" s="314"/>
      <c r="B60" s="314"/>
      <c r="C60" s="314"/>
      <c r="D60" s="314"/>
      <c r="E60" s="314"/>
      <c r="F60" s="116">
        <f>SUM(E32:E59)</f>
        <v>1690000</v>
      </c>
    </row>
    <row r="61" spans="1:6" x14ac:dyDescent="0.35">
      <c r="A61" s="33" t="s">
        <v>88</v>
      </c>
      <c r="B61" s="34" t="s">
        <v>83</v>
      </c>
      <c r="C61" s="35" t="s">
        <v>84</v>
      </c>
      <c r="D61" s="36" t="s">
        <v>89</v>
      </c>
      <c r="E61" s="37" t="s">
        <v>86</v>
      </c>
      <c r="F61" s="315"/>
    </row>
    <row r="62" spans="1:6" x14ac:dyDescent="0.35">
      <c r="A62" s="38" t="s">
        <v>272</v>
      </c>
      <c r="B62" s="34">
        <v>1</v>
      </c>
      <c r="C62" s="35">
        <v>5</v>
      </c>
      <c r="D62" s="39">
        <v>539456.24067333317</v>
      </c>
      <c r="E62" s="37">
        <f>B62*C62*D62</f>
        <v>2697281.2033666661</v>
      </c>
      <c r="F62" s="316"/>
    </row>
    <row r="63" spans="1:6" x14ac:dyDescent="0.35">
      <c r="A63" s="107" t="s">
        <v>273</v>
      </c>
      <c r="B63" s="20">
        <v>1</v>
      </c>
      <c r="C63" s="40">
        <v>5</v>
      </c>
      <c r="D63" s="39">
        <v>539456.24067333317</v>
      </c>
      <c r="E63" s="21">
        <f t="shared" ref="E63:E69" si="3">B63*C63*D63</f>
        <v>2697281.2033666661</v>
      </c>
      <c r="F63" s="316"/>
    </row>
    <row r="64" spans="1:6" x14ac:dyDescent="0.35">
      <c r="A64" s="107" t="s">
        <v>277</v>
      </c>
      <c r="B64" s="20">
        <v>1</v>
      </c>
      <c r="C64" s="35"/>
      <c r="D64" s="39">
        <v>539456.24067333317</v>
      </c>
      <c r="E64" s="21">
        <f>B64*C64*D64</f>
        <v>0</v>
      </c>
      <c r="F64" s="316"/>
    </row>
    <row r="65" spans="1:8" x14ac:dyDescent="0.35">
      <c r="A65" s="107" t="s">
        <v>278</v>
      </c>
      <c r="B65" s="20">
        <v>1.5</v>
      </c>
      <c r="C65" s="35"/>
      <c r="D65" s="39">
        <v>434781.13826000009</v>
      </c>
      <c r="E65" s="21">
        <f>B65*C65*D65</f>
        <v>0</v>
      </c>
      <c r="F65" s="316"/>
    </row>
    <row r="66" spans="1:8" x14ac:dyDescent="0.35">
      <c r="A66" s="107" t="s">
        <v>276</v>
      </c>
      <c r="B66" s="20">
        <v>2</v>
      </c>
      <c r="C66" s="35"/>
      <c r="D66" s="39">
        <v>434781.13826000009</v>
      </c>
      <c r="E66" s="21">
        <f>B66*C66*D66</f>
        <v>0</v>
      </c>
      <c r="F66" s="316"/>
    </row>
    <row r="67" spans="1:8" x14ac:dyDescent="0.35">
      <c r="A67" s="107" t="s">
        <v>274</v>
      </c>
      <c r="B67" s="20">
        <v>1</v>
      </c>
      <c r="C67" s="35">
        <v>5</v>
      </c>
      <c r="D67" s="39">
        <v>399154.66304000001</v>
      </c>
      <c r="E67" s="21">
        <f t="shared" si="3"/>
        <v>1995773.3152000001</v>
      </c>
      <c r="F67" s="316"/>
    </row>
    <row r="68" spans="1:8" x14ac:dyDescent="0.35">
      <c r="A68" s="107" t="s">
        <v>223</v>
      </c>
      <c r="B68" s="20">
        <v>1</v>
      </c>
      <c r="C68" s="35">
        <v>5</v>
      </c>
      <c r="D68" s="39">
        <v>383405.20943333331</v>
      </c>
      <c r="E68" s="21">
        <f>B68*C68*D68</f>
        <v>1917026.0471666665</v>
      </c>
      <c r="F68" s="316"/>
    </row>
    <row r="69" spans="1:8" x14ac:dyDescent="0.35">
      <c r="A69" s="107" t="s">
        <v>275</v>
      </c>
      <c r="B69" s="117">
        <v>8</v>
      </c>
      <c r="C69" s="118">
        <v>5</v>
      </c>
      <c r="D69" s="119">
        <v>355463.24792666658</v>
      </c>
      <c r="E69" s="120">
        <f t="shared" si="3"/>
        <v>14218529.917066664</v>
      </c>
      <c r="F69" s="316"/>
    </row>
    <row r="70" spans="1:8" x14ac:dyDescent="0.35">
      <c r="A70" s="287"/>
      <c r="B70" s="287"/>
      <c r="C70" s="287"/>
      <c r="D70" s="287"/>
      <c r="E70" s="287"/>
      <c r="F70" s="121">
        <f>SUM(E62:E69)</f>
        <v>23525891.686166663</v>
      </c>
    </row>
    <row r="71" spans="1:8" x14ac:dyDescent="0.35">
      <c r="A71" s="33" t="s">
        <v>279</v>
      </c>
      <c r="B71" s="34" t="s">
        <v>83</v>
      </c>
      <c r="C71" s="35" t="s">
        <v>84</v>
      </c>
      <c r="D71" s="36" t="s">
        <v>269</v>
      </c>
      <c r="E71" s="37" t="s">
        <v>86</v>
      </c>
      <c r="F71" s="62"/>
    </row>
    <row r="72" spans="1:8" x14ac:dyDescent="0.35">
      <c r="A72" s="164" t="s">
        <v>240</v>
      </c>
      <c r="B72" s="108">
        <v>1</v>
      </c>
      <c r="C72" s="108"/>
      <c r="D72" s="108">
        <f>IFERROR(VLOOKUP(A72,[1]!TablaTransporte[#Data],2,FALSE),0)</f>
        <v>550000</v>
      </c>
      <c r="E72" s="110">
        <f>B72*C72*D72</f>
        <v>0</v>
      </c>
      <c r="F72" s="283"/>
      <c r="H72" s="108"/>
    </row>
    <row r="73" spans="1:8" x14ac:dyDescent="0.35">
      <c r="A73" s="164" t="s">
        <v>241</v>
      </c>
      <c r="B73" s="108">
        <v>1</v>
      </c>
      <c r="C73" s="108"/>
      <c r="D73" s="108">
        <f>IFERROR(VLOOKUP(A73,[1]!TablaTransporte[#Data],2,FALSE),0)</f>
        <v>65000</v>
      </c>
      <c r="E73" s="108">
        <f>B73*C73*D73</f>
        <v>0</v>
      </c>
      <c r="F73" s="284"/>
      <c r="H73" s="128"/>
    </row>
    <row r="74" spans="1:8" x14ac:dyDescent="0.35">
      <c r="A74" s="164" t="s">
        <v>246</v>
      </c>
      <c r="B74" s="108">
        <v>1</v>
      </c>
      <c r="C74" s="108"/>
      <c r="D74" s="108">
        <f>IFERROR(VLOOKUP(A74,[1]!TablaTransporte[#Data],2,FALSE),0)</f>
        <v>322000</v>
      </c>
      <c r="E74" s="108">
        <f>B74*C74*D74</f>
        <v>0</v>
      </c>
      <c r="F74" s="284"/>
    </row>
    <row r="75" spans="1:8" ht="23" x14ac:dyDescent="0.35">
      <c r="A75" s="127" t="s">
        <v>244</v>
      </c>
      <c r="B75" s="128"/>
      <c r="C75" s="128"/>
      <c r="D75" s="128">
        <f>IFERROR(VLOOKUP(A75,[1]!TablaTransporte[#Data],2,FALSE),0)</f>
        <v>190000</v>
      </c>
      <c r="E75" s="128">
        <f>C75*D75</f>
        <v>0</v>
      </c>
      <c r="F75" s="284"/>
    </row>
    <row r="76" spans="1:8" ht="15.5" x14ac:dyDescent="0.35">
      <c r="A76" s="174" t="s">
        <v>245</v>
      </c>
      <c r="B76" s="128">
        <v>1</v>
      </c>
      <c r="C76" s="128">
        <v>3</v>
      </c>
      <c r="D76" s="108">
        <f>IFERROR(VLOOKUP(A76,[1]!TablaTransporte[#Data],2,FALSE),0)</f>
        <v>1350000</v>
      </c>
      <c r="E76" s="128">
        <f>C76*D76</f>
        <v>4050000</v>
      </c>
      <c r="F76" s="284"/>
    </row>
    <row r="77" spans="1:8" x14ac:dyDescent="0.35">
      <c r="A77" s="130" t="s">
        <v>280</v>
      </c>
      <c r="B77" s="128">
        <v>1</v>
      </c>
      <c r="C77" s="128">
        <v>2</v>
      </c>
      <c r="D77" s="128">
        <f>IFERROR(VLOOKUP(A77,[1]!TablaTransporte[#Data],2,FALSE),0)</f>
        <v>1330000</v>
      </c>
      <c r="E77" s="128">
        <f>C77*D77</f>
        <v>2660000</v>
      </c>
      <c r="F77" s="284"/>
    </row>
    <row r="78" spans="1:8" x14ac:dyDescent="0.35">
      <c r="A78" s="164" t="s">
        <v>388</v>
      </c>
      <c r="B78" s="128">
        <v>1</v>
      </c>
      <c r="C78" s="128">
        <v>4</v>
      </c>
      <c r="D78" s="128">
        <f>IFERROR(VLOOKUP(A78,[1]!TablaTransporte[#Data],2,FALSE),0)</f>
        <v>0</v>
      </c>
      <c r="E78" s="110">
        <f>B78*C78*D78</f>
        <v>0</v>
      </c>
      <c r="F78" s="284"/>
    </row>
    <row r="79" spans="1:8" x14ac:dyDescent="0.35">
      <c r="A79" s="164" t="s">
        <v>390</v>
      </c>
      <c r="B79" s="128">
        <v>1</v>
      </c>
      <c r="C79" s="128">
        <v>2</v>
      </c>
      <c r="D79" s="128">
        <f>IFERROR(VLOOKUP(A79,[1]!TablaTransporte[#Data],2,FALSE),0)</f>
        <v>1820000</v>
      </c>
      <c r="E79" s="110">
        <f>B79*C79*D79</f>
        <v>3640000</v>
      </c>
      <c r="F79" s="284"/>
    </row>
    <row r="80" spans="1:8" x14ac:dyDescent="0.35">
      <c r="A80" s="164" t="s">
        <v>391</v>
      </c>
      <c r="B80" s="128">
        <v>1</v>
      </c>
      <c r="C80" s="128">
        <v>2</v>
      </c>
      <c r="D80" s="128">
        <f>IFERROR(VLOOKUP(A80,[1]!TablaTransporte[#Data],2,FALSE),0)</f>
        <v>0</v>
      </c>
      <c r="E80" s="110">
        <f>B80*C80*D80</f>
        <v>0</v>
      </c>
      <c r="F80" s="284"/>
    </row>
    <row r="81" spans="1:6" x14ac:dyDescent="0.35">
      <c r="A81" s="164" t="s">
        <v>392</v>
      </c>
      <c r="B81" s="128">
        <v>1</v>
      </c>
      <c r="C81" s="128">
        <v>2</v>
      </c>
      <c r="D81" s="128">
        <f>IFERROR(VLOOKUP(A81,[1]!TablaTransporte[#Data],2,FALSE),0)</f>
        <v>840000</v>
      </c>
      <c r="E81" s="110">
        <f>B81*C81*D81</f>
        <v>1680000</v>
      </c>
      <c r="F81" s="284"/>
    </row>
    <row r="82" spans="1:6" x14ac:dyDescent="0.35">
      <c r="A82" s="130"/>
      <c r="B82" s="128"/>
      <c r="C82" s="128"/>
      <c r="D82" s="128">
        <f>IFERROR(VLOOKUP(A82,[1]!TablaTransporte[#Data],2,FALSE),0)</f>
        <v>0</v>
      </c>
      <c r="E82" s="128"/>
      <c r="F82" s="284"/>
    </row>
    <row r="83" spans="1:6" x14ac:dyDescent="0.35">
      <c r="A83" s="130"/>
      <c r="B83" s="128"/>
      <c r="C83" s="128"/>
      <c r="D83" s="128">
        <f>IFERROR(VLOOKUP(A83,[1]!TablaTransporte[#Data],2,FALSE),0)</f>
        <v>0</v>
      </c>
      <c r="E83" s="128"/>
      <c r="F83" s="285"/>
    </row>
    <row r="84" spans="1:6" x14ac:dyDescent="0.35">
      <c r="A84" s="319"/>
      <c r="B84" s="320"/>
      <c r="C84" s="320"/>
      <c r="D84" s="320"/>
      <c r="E84" s="321"/>
      <c r="F84" s="42">
        <f>SUM(E72:E83)</f>
        <v>12030000</v>
      </c>
    </row>
    <row r="85" spans="1:6" ht="15" thickBot="1" x14ac:dyDescent="0.4">
      <c r="A85" s="322"/>
      <c r="B85" s="292"/>
      <c r="C85" s="292"/>
      <c r="D85" s="292"/>
      <c r="E85" s="323"/>
      <c r="F85" s="42">
        <f>F30+F60+F70+F84</f>
        <v>37545691.686166659</v>
      </c>
    </row>
    <row r="86" spans="1:6" ht="15" thickBot="1" x14ac:dyDescent="0.4">
      <c r="A86" s="302"/>
      <c r="B86" s="300"/>
      <c r="C86" s="300"/>
      <c r="D86" s="300"/>
      <c r="E86" s="301"/>
      <c r="F86" s="44">
        <f>F85*A86</f>
        <v>0</v>
      </c>
    </row>
    <row r="87" spans="1:6" ht="15" thickBot="1" x14ac:dyDescent="0.4">
      <c r="A87" s="286"/>
      <c r="B87" s="286"/>
      <c r="C87" s="286"/>
      <c r="D87" s="286"/>
      <c r="E87" s="286"/>
      <c r="F87" s="28">
        <f>F85+F86</f>
        <v>37545691.686166659</v>
      </c>
    </row>
    <row r="88" spans="1:6" ht="15" thickBot="1" x14ac:dyDescent="0.4">
      <c r="A88" s="317"/>
      <c r="B88" s="306"/>
      <c r="C88" s="306"/>
      <c r="D88" s="306"/>
      <c r="E88" s="282"/>
      <c r="F88" s="28">
        <f>F87*A88</f>
        <v>0</v>
      </c>
    </row>
    <row r="89" spans="1:6" ht="15" thickBot="1" x14ac:dyDescent="0.4">
      <c r="F89" s="28">
        <f>F87+F88</f>
        <v>37545691.686166659</v>
      </c>
    </row>
    <row r="90" spans="1:6" x14ac:dyDescent="0.35">
      <c r="F90" s="176">
        <f>F89/F3</f>
        <v>421861.70433895121</v>
      </c>
    </row>
  </sheetData>
  <mergeCells count="12">
    <mergeCell ref="F61:F69"/>
    <mergeCell ref="A1:F1"/>
    <mergeCell ref="A30:E30"/>
    <mergeCell ref="F31:F51"/>
    <mergeCell ref="A60:E60"/>
    <mergeCell ref="A87:E87"/>
    <mergeCell ref="A88:E88"/>
    <mergeCell ref="A70:E70"/>
    <mergeCell ref="F72:F83"/>
    <mergeCell ref="A84:E84"/>
    <mergeCell ref="A85:E85"/>
    <mergeCell ref="A86:E86"/>
  </mergeCells>
  <dataValidations count="3">
    <dataValidation type="list" allowBlank="1" showInputMessage="1" showErrorMessage="1" sqref="A32:A60" xr:uid="{A5784B78-C023-4C4F-A483-B7D9BE98A075}">
      <formula1>ListaMateriales</formula1>
    </dataValidation>
    <dataValidation type="list" allowBlank="1" showInputMessage="1" showErrorMessage="1" sqref="A3:A30" xr:uid="{2E4A0820-5A4F-4C1F-A7C0-380B30A10BD7}">
      <formula1>ListaEquipos</formula1>
    </dataValidation>
    <dataValidation type="list" allowBlank="1" showInputMessage="1" showErrorMessage="1" sqref="A73 A74 A75 A76 A77 A78 A79 A80 A81 A82 A83" xr:uid="{677E6D6A-02C9-4E05-BACD-CD2034F93B55}">
      <formula1>ListaTransporte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2C62-85AE-4804-B8F2-94F6956A0EA0}">
  <sheetPr>
    <tabColor rgb="FF00B050"/>
  </sheetPr>
  <dimension ref="A1:F57"/>
  <sheetViews>
    <sheetView workbookViewId="0">
      <selection activeCell="F57" sqref="F57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54296875" bestFit="1" customWidth="1"/>
    <col min="5" max="5" width="11.453125" bestFit="1" customWidth="1"/>
    <col min="6" max="6" width="13.6328125" bestFit="1" customWidth="1"/>
  </cols>
  <sheetData>
    <row r="1" spans="1:6" x14ac:dyDescent="0.35">
      <c r="A1" s="306" t="s">
        <v>35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32</v>
      </c>
    </row>
    <row r="4" spans="1:6" x14ac:dyDescent="0.35">
      <c r="A4" s="26" t="s">
        <v>227</v>
      </c>
      <c r="B4" s="22">
        <v>6</v>
      </c>
      <c r="C4" s="23">
        <v>3</v>
      </c>
      <c r="D4" s="24">
        <f>IFERROR(VLOOKUP(A4,[1]!TablaEquipos[#Data],2,FALSE),0)</f>
        <v>700</v>
      </c>
      <c r="E4" s="25">
        <f t="shared" ref="E4:E14" si="0">B4*C4*D4</f>
        <v>12600</v>
      </c>
      <c r="F4" s="62"/>
    </row>
    <row r="5" spans="1:6" x14ac:dyDescent="0.35">
      <c r="A5" s="24" t="s">
        <v>229</v>
      </c>
      <c r="B5" s="22">
        <v>6</v>
      </c>
      <c r="C5" s="23">
        <v>3</v>
      </c>
      <c r="D5" s="24">
        <f>IFERROR(VLOOKUP(A5,[1]!TablaEquipos[#Data],2,FALSE),0)</f>
        <v>1500</v>
      </c>
      <c r="E5" s="25">
        <f t="shared" si="0"/>
        <v>27000</v>
      </c>
      <c r="F5" s="62"/>
    </row>
    <row r="6" spans="1:6" x14ac:dyDescent="0.35">
      <c r="A6" s="26" t="s">
        <v>248</v>
      </c>
      <c r="B6" s="22">
        <v>1</v>
      </c>
      <c r="C6" s="23">
        <v>3</v>
      </c>
      <c r="D6" s="24">
        <f>IFERROR(VLOOKUP(A6,[1]!TablaEquipos[#Data],2,FALSE),0)</f>
        <v>100000</v>
      </c>
      <c r="E6" s="25">
        <f t="shared" si="0"/>
        <v>300000</v>
      </c>
      <c r="F6" s="62"/>
    </row>
    <row r="7" spans="1:6" ht="23" x14ac:dyDescent="0.35">
      <c r="A7" s="26" t="s">
        <v>249</v>
      </c>
      <c r="B7" s="22">
        <v>1</v>
      </c>
      <c r="C7" s="23">
        <v>3</v>
      </c>
      <c r="D7" s="24">
        <f>IFERROR(VLOOKUP(A7,[1]!TablaEquipos[#Data],2,FALSE),0)</f>
        <v>40000</v>
      </c>
      <c r="E7" s="25">
        <f t="shared" si="0"/>
        <v>120000</v>
      </c>
      <c r="F7" s="62"/>
    </row>
    <row r="8" spans="1:6" x14ac:dyDescent="0.35">
      <c r="A8" s="26" t="s">
        <v>301</v>
      </c>
      <c r="B8" s="22">
        <v>2</v>
      </c>
      <c r="C8" s="23">
        <v>3</v>
      </c>
      <c r="D8" s="24">
        <f>IFERROR(VLOOKUP(A8,[1]!TablaEquipos[#Data],2,FALSE),0)</f>
        <v>500</v>
      </c>
      <c r="E8" s="25">
        <f t="shared" si="0"/>
        <v>3000</v>
      </c>
      <c r="F8" s="62"/>
    </row>
    <row r="9" spans="1:6" x14ac:dyDescent="0.35">
      <c r="A9" s="26" t="s">
        <v>347</v>
      </c>
      <c r="B9" s="123">
        <v>2</v>
      </c>
      <c r="C9" s="123">
        <v>3</v>
      </c>
      <c r="D9" s="24">
        <f>IFERROR(VLOOKUP(A9,[1]!TablaEquipos[#Data],2,FALSE),0)</f>
        <v>625</v>
      </c>
      <c r="E9" s="25">
        <f t="shared" si="0"/>
        <v>3750</v>
      </c>
      <c r="F9" s="62"/>
    </row>
    <row r="10" spans="1:6" x14ac:dyDescent="0.35">
      <c r="A10" s="26" t="s">
        <v>242</v>
      </c>
      <c r="B10" s="123">
        <v>30</v>
      </c>
      <c r="C10" s="123">
        <v>3</v>
      </c>
      <c r="D10" s="24">
        <f>IFERROR(VLOOKUP(A10,[1]!TablaEquipos[#Data],2,FALSE),0)</f>
        <v>1000</v>
      </c>
      <c r="E10" s="25">
        <f t="shared" si="0"/>
        <v>90000</v>
      </c>
      <c r="F10" s="62"/>
    </row>
    <row r="11" spans="1:6" x14ac:dyDescent="0.35">
      <c r="A11" s="26" t="s">
        <v>415</v>
      </c>
      <c r="B11" s="123">
        <v>6</v>
      </c>
      <c r="C11" s="123">
        <v>3</v>
      </c>
      <c r="D11" s="24">
        <f>IFERROR(VLOOKUP(A11,[1]!TablaEquipos[#Data],2,FALSE),0)</f>
        <v>15000</v>
      </c>
      <c r="E11" s="25">
        <f t="shared" si="0"/>
        <v>270000</v>
      </c>
      <c r="F11" s="62"/>
    </row>
    <row r="12" spans="1:6" x14ac:dyDescent="0.35">
      <c r="A12" s="26" t="s">
        <v>416</v>
      </c>
      <c r="B12" s="123">
        <v>12</v>
      </c>
      <c r="C12" s="123">
        <v>3</v>
      </c>
      <c r="D12" s="24">
        <f>IFERROR(VLOOKUP(A12,[1]!TablaEquipos[#Data],2,FALSE),0)</f>
        <v>12000</v>
      </c>
      <c r="E12" s="25">
        <f t="shared" si="0"/>
        <v>432000</v>
      </c>
      <c r="F12" s="62"/>
    </row>
    <row r="13" spans="1:6" x14ac:dyDescent="0.35">
      <c r="A13" s="26" t="s">
        <v>417</v>
      </c>
      <c r="B13" s="123">
        <v>6</v>
      </c>
      <c r="C13" s="123">
        <v>3</v>
      </c>
      <c r="D13" s="24">
        <f>IFERROR(VLOOKUP(A13,[1]!TablaEquipos[#Data],2,FALSE),0)</f>
        <v>20000</v>
      </c>
      <c r="E13" s="25">
        <f t="shared" si="0"/>
        <v>360000</v>
      </c>
      <c r="F13" s="62"/>
    </row>
    <row r="14" spans="1:6" x14ac:dyDescent="0.35">
      <c r="A14" s="26" t="s">
        <v>407</v>
      </c>
      <c r="B14" s="123">
        <v>1</v>
      </c>
      <c r="C14" s="123">
        <v>3</v>
      </c>
      <c r="D14" s="24">
        <f>IFERROR(VLOOKUP(A14,[1]!TablaEquipos[#Data],2,FALSE),0)</f>
        <v>8000</v>
      </c>
      <c r="E14" s="25">
        <f t="shared" si="0"/>
        <v>24000</v>
      </c>
      <c r="F14" s="62"/>
    </row>
    <row r="15" spans="1:6" ht="15.5" x14ac:dyDescent="0.35">
      <c r="A15" s="122"/>
      <c r="B15" s="123"/>
      <c r="C15" s="123"/>
      <c r="D15" s="24"/>
      <c r="E15" s="123"/>
      <c r="F15" s="62"/>
    </row>
    <row r="16" spans="1:6" ht="15.5" x14ac:dyDescent="0.35">
      <c r="A16" s="122"/>
      <c r="B16" s="123"/>
      <c r="C16" s="123"/>
      <c r="D16" s="24"/>
      <c r="E16" s="123"/>
      <c r="F16" s="62"/>
    </row>
    <row r="17" spans="1:6" ht="15.5" x14ac:dyDescent="0.35">
      <c r="A17" s="122"/>
      <c r="B17" s="123"/>
      <c r="C17" s="123"/>
      <c r="D17" s="24"/>
      <c r="E17" s="123"/>
      <c r="F17" s="62"/>
    </row>
    <row r="18" spans="1:6" ht="15.5" x14ac:dyDescent="0.35">
      <c r="A18" s="122"/>
      <c r="B18" s="123"/>
      <c r="C18" s="123"/>
      <c r="D18" s="24"/>
      <c r="E18" s="123"/>
      <c r="F18" s="62"/>
    </row>
    <row r="19" spans="1:6" ht="15.5" x14ac:dyDescent="0.35">
      <c r="A19" s="122"/>
      <c r="B19" s="123"/>
      <c r="C19" s="123"/>
      <c r="D19" s="24"/>
      <c r="E19" s="123"/>
      <c r="F19" s="62"/>
    </row>
    <row r="20" spans="1:6" ht="15" thickBot="1" x14ac:dyDescent="0.4">
      <c r="A20" s="294"/>
      <c r="B20" s="295"/>
      <c r="C20" s="295"/>
      <c r="D20" s="295"/>
      <c r="E20" s="295"/>
      <c r="F20" s="84">
        <f>SUM(E4:E19)</f>
        <v>1642350</v>
      </c>
    </row>
    <row r="21" spans="1:6" x14ac:dyDescent="0.35">
      <c r="A21" s="33" t="s">
        <v>270</v>
      </c>
      <c r="B21" s="34" t="s">
        <v>83</v>
      </c>
      <c r="C21" s="45" t="s">
        <v>84</v>
      </c>
      <c r="D21" s="46" t="s">
        <v>269</v>
      </c>
      <c r="E21" s="37" t="s">
        <v>86</v>
      </c>
      <c r="F21" s="116"/>
    </row>
    <row r="22" spans="1:6" ht="23" x14ac:dyDescent="0.35">
      <c r="A22" s="79" t="s">
        <v>261</v>
      </c>
      <c r="B22" s="85">
        <v>2</v>
      </c>
      <c r="C22" s="23"/>
      <c r="D22" s="27">
        <f>IFERROR(VLOOKUP(A22,[1]!TablaMateriales[#Data],2,FALSE),0)</f>
        <v>55000</v>
      </c>
      <c r="E22" s="27">
        <f>B22*D22</f>
        <v>110000</v>
      </c>
      <c r="F22" s="157"/>
    </row>
    <row r="23" spans="1:6" x14ac:dyDescent="0.35">
      <c r="A23" s="126" t="s">
        <v>243</v>
      </c>
      <c r="B23" s="78">
        <v>50</v>
      </c>
      <c r="C23" s="23"/>
      <c r="D23" s="27">
        <f>IFERROR(VLOOKUP(A23,[1]!TablaMateriales[#Data],2,FALSE),0)</f>
        <v>9500</v>
      </c>
      <c r="E23" s="27">
        <f>B23*D23</f>
        <v>475000</v>
      </c>
      <c r="F23" s="157"/>
    </row>
    <row r="24" spans="1:6" x14ac:dyDescent="0.35">
      <c r="A24" s="193" t="s">
        <v>412</v>
      </c>
      <c r="B24" s="78">
        <v>32</v>
      </c>
      <c r="C24" s="23"/>
      <c r="D24" s="27">
        <f>IFERROR(VLOOKUP(A24,[1]!TablaMateriales[#Data],2,FALSE),0)</f>
        <v>650000</v>
      </c>
      <c r="E24" s="27">
        <v>28000000</v>
      </c>
      <c r="F24" s="157"/>
    </row>
    <row r="25" spans="1:6" x14ac:dyDescent="0.35">
      <c r="A25" s="126" t="s">
        <v>439</v>
      </c>
      <c r="B25" s="78">
        <v>32</v>
      </c>
      <c r="C25" s="23"/>
      <c r="D25" s="27">
        <f>IFERROR(VLOOKUP(A25,[1]!TablaMateriales[#Data],2,FALSE),0)</f>
        <v>59000</v>
      </c>
      <c r="E25" s="27">
        <f>B25*D25</f>
        <v>1888000</v>
      </c>
      <c r="F25" s="157"/>
    </row>
    <row r="26" spans="1:6" x14ac:dyDescent="0.35">
      <c r="A26" s="126" t="s">
        <v>422</v>
      </c>
      <c r="B26" s="78">
        <v>70</v>
      </c>
      <c r="C26" s="23"/>
      <c r="D26" s="27">
        <f>IFERROR(VLOOKUP(A26,[1]!TablaMateriales[#Data],2,FALSE),0)</f>
        <v>30000</v>
      </c>
      <c r="E26" s="27">
        <f>B26*D26</f>
        <v>2100000</v>
      </c>
      <c r="F26" s="157"/>
    </row>
    <row r="27" spans="1:6" x14ac:dyDescent="0.35">
      <c r="A27" s="126" t="s">
        <v>421</v>
      </c>
      <c r="B27" s="78">
        <v>20</v>
      </c>
      <c r="C27" s="23"/>
      <c r="D27" s="27">
        <f>IFERROR(VLOOKUP(A27,[1]!TablaMateriales[#Data],2,FALSE),0)</f>
        <v>25000</v>
      </c>
      <c r="E27" s="27">
        <f>B27*D27</f>
        <v>500000</v>
      </c>
      <c r="F27" s="157"/>
    </row>
    <row r="28" spans="1:6" x14ac:dyDescent="0.35">
      <c r="A28" s="126" t="s">
        <v>410</v>
      </c>
      <c r="B28" s="78">
        <v>32</v>
      </c>
      <c r="C28" s="23"/>
      <c r="D28" s="27">
        <f>IFERROR(VLOOKUP(A28,[1]!TablaMateriales[#Data],2,FALSE),0)</f>
        <v>76500</v>
      </c>
      <c r="E28" s="27">
        <f>B28*D28</f>
        <v>2448000</v>
      </c>
      <c r="F28" s="157"/>
    </row>
    <row r="29" spans="1:6" x14ac:dyDescent="0.35">
      <c r="A29" s="126"/>
      <c r="B29" s="78"/>
      <c r="C29" s="23"/>
      <c r="D29" s="27">
        <f>IFERROR(VLOOKUP(A29,[1]!TablaMateriales[#Data],2,FALSE),0)</f>
        <v>0</v>
      </c>
      <c r="E29" s="27"/>
      <c r="F29" s="157"/>
    </row>
    <row r="30" spans="1:6" x14ac:dyDescent="0.35">
      <c r="A30" s="126"/>
      <c r="B30" s="78"/>
      <c r="C30" s="23"/>
      <c r="D30" s="27">
        <f>IFERROR(VLOOKUP(A30,[1]!TablaMateriales[#Data],2,FALSE),0)</f>
        <v>0</v>
      </c>
      <c r="E30" s="27"/>
      <c r="F30" s="157"/>
    </row>
    <row r="31" spans="1:6" ht="15" thickBot="1" x14ac:dyDescent="0.4">
      <c r="A31" s="126"/>
      <c r="B31" s="78"/>
      <c r="C31" s="23"/>
      <c r="D31" s="27">
        <f>IFERROR(VLOOKUP(A31,[1]!TablaMateriales[#Data],2,FALSE),0)</f>
        <v>0</v>
      </c>
      <c r="E31" s="27"/>
      <c r="F31" s="191"/>
    </row>
    <row r="32" spans="1:6" x14ac:dyDescent="0.35">
      <c r="A32" s="314"/>
      <c r="B32" s="314"/>
      <c r="C32" s="314"/>
      <c r="D32" s="314"/>
      <c r="E32" s="314"/>
      <c r="F32" s="116">
        <f>SUM(E22:E31)</f>
        <v>35521000</v>
      </c>
    </row>
    <row r="33" spans="1:6" x14ac:dyDescent="0.35">
      <c r="A33" s="33" t="s">
        <v>88</v>
      </c>
      <c r="B33" s="34" t="s">
        <v>83</v>
      </c>
      <c r="C33" s="35" t="s">
        <v>84</v>
      </c>
      <c r="D33" s="36" t="s">
        <v>89</v>
      </c>
      <c r="E33" s="37" t="s">
        <v>86</v>
      </c>
      <c r="F33" s="178"/>
    </row>
    <row r="34" spans="1:6" x14ac:dyDescent="0.35">
      <c r="A34" s="38" t="s">
        <v>272</v>
      </c>
      <c r="B34" s="34">
        <v>1</v>
      </c>
      <c r="C34" s="35">
        <v>19</v>
      </c>
      <c r="D34" s="39">
        <v>539456.24067333317</v>
      </c>
      <c r="E34" s="37">
        <f t="shared" ref="E34:E39" si="1">B34*C34*D34</f>
        <v>10249668.572793331</v>
      </c>
      <c r="F34" s="179"/>
    </row>
    <row r="35" spans="1:6" x14ac:dyDescent="0.35">
      <c r="A35" s="107" t="s">
        <v>273</v>
      </c>
      <c r="B35" s="20">
        <v>1</v>
      </c>
      <c r="C35" s="40">
        <v>19</v>
      </c>
      <c r="D35" s="39">
        <v>539456.24067333317</v>
      </c>
      <c r="E35" s="21">
        <f t="shared" si="1"/>
        <v>10249668.572793331</v>
      </c>
      <c r="F35" s="179"/>
    </row>
    <row r="36" spans="1:6" x14ac:dyDescent="0.35">
      <c r="A36" s="107" t="s">
        <v>274</v>
      </c>
      <c r="B36" s="20">
        <v>2</v>
      </c>
      <c r="C36" s="35">
        <v>19</v>
      </c>
      <c r="D36" s="39">
        <v>399154.66304000001</v>
      </c>
      <c r="E36" s="21">
        <f t="shared" si="1"/>
        <v>15167877.195520001</v>
      </c>
      <c r="F36" s="179"/>
    </row>
    <row r="37" spans="1:6" x14ac:dyDescent="0.35">
      <c r="A37" s="107" t="s">
        <v>223</v>
      </c>
      <c r="B37" s="20">
        <v>1</v>
      </c>
      <c r="C37" s="35">
        <v>19</v>
      </c>
      <c r="D37" s="39">
        <v>383405.20943333331</v>
      </c>
      <c r="E37" s="21">
        <f t="shared" si="1"/>
        <v>7284698.9792333329</v>
      </c>
      <c r="F37" s="179"/>
    </row>
    <row r="38" spans="1:6" x14ac:dyDescent="0.35">
      <c r="A38" s="107" t="s">
        <v>414</v>
      </c>
      <c r="B38" s="117">
        <v>8</v>
      </c>
      <c r="C38" s="180">
        <v>19</v>
      </c>
      <c r="D38" s="119">
        <f>'tabla salarial'!AS9</f>
        <v>382109.06042666658</v>
      </c>
      <c r="E38" s="21">
        <f t="shared" si="1"/>
        <v>58080577.184853323</v>
      </c>
      <c r="F38" s="179"/>
    </row>
    <row r="39" spans="1:6" x14ac:dyDescent="0.35">
      <c r="A39" s="107" t="s">
        <v>420</v>
      </c>
      <c r="B39" s="117">
        <v>8</v>
      </c>
      <c r="C39" s="118"/>
      <c r="D39" s="119">
        <f>'tabla salarial'!AS9</f>
        <v>382109.06042666658</v>
      </c>
      <c r="E39" s="21">
        <f t="shared" si="1"/>
        <v>0</v>
      </c>
      <c r="F39" s="179"/>
    </row>
    <row r="40" spans="1:6" x14ac:dyDescent="0.35">
      <c r="A40" s="287"/>
      <c r="B40" s="287"/>
      <c r="C40" s="287"/>
      <c r="D40" s="287"/>
      <c r="E40" s="287"/>
      <c r="F40" s="121">
        <f>SUM(E34:E39)</f>
        <v>101032490.50519332</v>
      </c>
    </row>
    <row r="41" spans="1:6" x14ac:dyDescent="0.35">
      <c r="A41" s="33" t="s">
        <v>279</v>
      </c>
      <c r="B41" s="34" t="s">
        <v>83</v>
      </c>
      <c r="C41" s="35" t="s">
        <v>84</v>
      </c>
      <c r="D41" s="36" t="s">
        <v>269</v>
      </c>
      <c r="E41" s="37" t="s">
        <v>86</v>
      </c>
      <c r="F41" s="62"/>
    </row>
    <row r="42" spans="1:6" x14ac:dyDescent="0.35">
      <c r="A42" s="127" t="s">
        <v>240</v>
      </c>
      <c r="B42" s="108">
        <v>1</v>
      </c>
      <c r="C42" s="108">
        <v>7</v>
      </c>
      <c r="D42" s="108">
        <f>IFERROR(VLOOKUP(A42,[1]!TablaTransporte[#Data],2,FALSE),0)</f>
        <v>550000</v>
      </c>
      <c r="E42" s="110">
        <f>B42*C42*D42</f>
        <v>3850000</v>
      </c>
      <c r="F42" s="170"/>
    </row>
    <row r="43" spans="1:6" x14ac:dyDescent="0.35">
      <c r="A43" s="127" t="s">
        <v>245</v>
      </c>
      <c r="B43" s="128">
        <v>1</v>
      </c>
      <c r="C43" s="128">
        <v>4</v>
      </c>
      <c r="D43" s="108">
        <f>IFERROR(VLOOKUP(A43,[1]!TablaTransporte[#Data],2,FALSE),0)</f>
        <v>1350000</v>
      </c>
      <c r="E43" s="110">
        <f t="shared" ref="E43:E49" si="2">B43*C43*D43</f>
        <v>5400000</v>
      </c>
      <c r="F43" s="171"/>
    </row>
    <row r="44" spans="1:6" x14ac:dyDescent="0.35">
      <c r="A44" s="127" t="s">
        <v>280</v>
      </c>
      <c r="B44" s="128">
        <v>1</v>
      </c>
      <c r="C44" s="128">
        <v>10</v>
      </c>
      <c r="D44" s="108">
        <f>IFERROR(VLOOKUP(A44,[1]!TablaTransporte[#Data],2,FALSE),0)</f>
        <v>1330000</v>
      </c>
      <c r="E44" s="110">
        <f t="shared" si="2"/>
        <v>13300000</v>
      </c>
      <c r="F44" s="171"/>
    </row>
    <row r="45" spans="1:6" x14ac:dyDescent="0.35">
      <c r="A45" s="127" t="s">
        <v>281</v>
      </c>
      <c r="B45" s="128">
        <v>1</v>
      </c>
      <c r="C45" s="128">
        <v>8</v>
      </c>
      <c r="D45" s="108">
        <f>IFERROR(VLOOKUP(A45,[1]!TablaTransporte[#Data],2,FALSE),0)</f>
        <v>840000</v>
      </c>
      <c r="E45" s="110">
        <f t="shared" si="2"/>
        <v>6720000</v>
      </c>
      <c r="F45" s="171"/>
    </row>
    <row r="46" spans="1:6" x14ac:dyDescent="0.35">
      <c r="A46" s="130" t="s">
        <v>388</v>
      </c>
      <c r="B46" s="128">
        <v>1</v>
      </c>
      <c r="C46" s="128">
        <v>7</v>
      </c>
      <c r="D46" s="108">
        <f>IFERROR(VLOOKUP(A46,[1]!TablaTransporte[#Data],2,FALSE),0)</f>
        <v>0</v>
      </c>
      <c r="E46" s="110">
        <f t="shared" si="2"/>
        <v>0</v>
      </c>
      <c r="F46" s="171"/>
    </row>
    <row r="47" spans="1:6" x14ac:dyDescent="0.35">
      <c r="A47" s="130" t="s">
        <v>419</v>
      </c>
      <c r="B47" s="128">
        <v>1</v>
      </c>
      <c r="C47" s="128">
        <v>4</v>
      </c>
      <c r="D47" s="108">
        <f>IFERROR(VLOOKUP(A47,[1]!TablaTransporte[#Data],2,FALSE),0)</f>
        <v>4000000</v>
      </c>
      <c r="E47" s="110">
        <f t="shared" si="2"/>
        <v>16000000</v>
      </c>
      <c r="F47" s="171"/>
    </row>
    <row r="48" spans="1:6" x14ac:dyDescent="0.35">
      <c r="A48" s="130" t="s">
        <v>381</v>
      </c>
      <c r="B48" s="128">
        <v>1</v>
      </c>
      <c r="C48" s="128">
        <v>8</v>
      </c>
      <c r="D48" s="108">
        <f>IFERROR(VLOOKUP(A48,[1]!TablaTransporte[#Data],2,FALSE),0)</f>
        <v>600000</v>
      </c>
      <c r="E48" s="128">
        <f t="shared" si="2"/>
        <v>4800000</v>
      </c>
      <c r="F48" s="171"/>
    </row>
    <row r="49" spans="1:6" x14ac:dyDescent="0.35">
      <c r="A49" s="130" t="s">
        <v>408</v>
      </c>
      <c r="B49" s="128">
        <v>1</v>
      </c>
      <c r="C49" s="128">
        <v>8</v>
      </c>
      <c r="D49" s="108">
        <f>IFERROR(VLOOKUP(A49,[1]!TablaTransporte[#Data],2,FALSE),0)</f>
        <v>1500000</v>
      </c>
      <c r="E49" s="128">
        <f t="shared" si="2"/>
        <v>12000000</v>
      </c>
      <c r="F49" s="171"/>
    </row>
    <row r="50" spans="1:6" x14ac:dyDescent="0.35">
      <c r="A50" s="130"/>
      <c r="B50" s="128"/>
      <c r="C50" s="128"/>
      <c r="D50" s="108">
        <f>IFERROR(VLOOKUP(A50,[1]!TablaTransporte[#Data],2,FALSE),0)</f>
        <v>0</v>
      </c>
      <c r="E50" s="128"/>
      <c r="F50" s="172"/>
    </row>
    <row r="51" spans="1:6" x14ac:dyDescent="0.35">
      <c r="A51" s="319"/>
      <c r="B51" s="320"/>
      <c r="C51" s="320"/>
      <c r="D51" s="320"/>
      <c r="E51" s="321"/>
      <c r="F51" s="42">
        <f>SUM(E42:E50)</f>
        <v>62070000</v>
      </c>
    </row>
    <row r="52" spans="1:6" ht="15" thickBot="1" x14ac:dyDescent="0.4">
      <c r="A52" s="322"/>
      <c r="B52" s="292"/>
      <c r="C52" s="292"/>
      <c r="D52" s="292"/>
      <c r="E52" s="323"/>
      <c r="F52" s="42">
        <f>F20+F32+F40+F51</f>
        <v>200265840.50519332</v>
      </c>
    </row>
    <row r="53" spans="1:6" ht="15" thickBot="1" x14ac:dyDescent="0.4">
      <c r="A53" s="302"/>
      <c r="B53" s="300"/>
      <c r="C53" s="300"/>
      <c r="D53" s="300"/>
      <c r="E53" s="301"/>
      <c r="F53" s="44">
        <f>F52*A53</f>
        <v>0</v>
      </c>
    </row>
    <row r="54" spans="1:6" ht="15" thickBot="1" x14ac:dyDescent="0.4">
      <c r="A54" s="286"/>
      <c r="B54" s="286"/>
      <c r="C54" s="286"/>
      <c r="D54" s="286"/>
      <c r="E54" s="286"/>
      <c r="F54" s="28">
        <f>F52+F53</f>
        <v>200265840.50519332</v>
      </c>
    </row>
    <row r="55" spans="1:6" ht="15" thickBot="1" x14ac:dyDescent="0.4">
      <c r="A55" s="317"/>
      <c r="B55" s="306"/>
      <c r="C55" s="306"/>
      <c r="D55" s="306"/>
      <c r="E55" s="282"/>
      <c r="F55" s="28">
        <f>F54*A55</f>
        <v>0</v>
      </c>
    </row>
    <row r="56" spans="1:6" ht="15" thickBot="1" x14ac:dyDescent="0.4">
      <c r="F56" s="28">
        <f>F54+F55</f>
        <v>200265840.50519332</v>
      </c>
    </row>
    <row r="57" spans="1:6" x14ac:dyDescent="0.35">
      <c r="F57" s="176">
        <f>F56/F3</f>
        <v>6258307.5157872913</v>
      </c>
    </row>
  </sheetData>
  <mergeCells count="9">
    <mergeCell ref="A55:E55"/>
    <mergeCell ref="A32:E32"/>
    <mergeCell ref="A40:E40"/>
    <mergeCell ref="A51:E51"/>
    <mergeCell ref="A1:F1"/>
    <mergeCell ref="A20:E20"/>
    <mergeCell ref="A52:E52"/>
    <mergeCell ref="A53:E53"/>
    <mergeCell ref="A54:E54"/>
  </mergeCells>
  <dataValidations count="3">
    <dataValidation type="list" allowBlank="1" showInputMessage="1" showErrorMessage="1" sqref="A3:A20" xr:uid="{5BF62F89-66C4-4DD5-BCCA-616805DD10B1}">
      <formula1>ListaEquipos</formula1>
    </dataValidation>
    <dataValidation type="list" allowBlank="1" showInputMessage="1" showErrorMessage="1" sqref="A22:A32" xr:uid="{FE46A0D9-A064-42E4-B933-7C0277A9C4D6}">
      <formula1>ListaMateriales</formula1>
    </dataValidation>
    <dataValidation type="list" allowBlank="1" showInputMessage="1" showErrorMessage="1" sqref="A42:A50" xr:uid="{88B59F7B-53FC-4558-96D0-5807AF1191C6}">
      <formula1>ListaTransporte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EA0F-8B14-41DB-A6CD-66F07F56F66A}">
  <sheetPr>
    <tabColor rgb="FF00B050"/>
  </sheetPr>
  <dimension ref="A1:F64"/>
  <sheetViews>
    <sheetView topLeftCell="A53" workbookViewId="0">
      <selection activeCell="F64" sqref="F64"/>
    </sheetView>
  </sheetViews>
  <sheetFormatPr baseColWidth="10" defaultRowHeight="14.5" x14ac:dyDescent="0.35"/>
  <cols>
    <col min="1" max="1" width="24.453125" customWidth="1"/>
    <col min="2" max="2" width="5.36328125" bestFit="1" customWidth="1"/>
    <col min="3" max="3" width="9.6328125" bestFit="1" customWidth="1"/>
    <col min="4" max="4" width="10.54296875" bestFit="1" customWidth="1"/>
    <col min="6" max="6" width="12.6328125" bestFit="1" customWidth="1"/>
  </cols>
  <sheetData>
    <row r="1" spans="1:6" x14ac:dyDescent="0.35">
      <c r="A1" s="306" t="s">
        <v>182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21</v>
      </c>
    </row>
    <row r="4" spans="1:6" x14ac:dyDescent="0.35">
      <c r="A4" s="26" t="s">
        <v>227</v>
      </c>
      <c r="B4" s="22">
        <v>8</v>
      </c>
      <c r="C4" s="23">
        <v>2</v>
      </c>
      <c r="D4" s="24">
        <f>IFERROR(VLOOKUP(A4,[1]!TablaEquipos[#Data],2,FALSE),0)</f>
        <v>700</v>
      </c>
      <c r="E4" s="25">
        <f t="shared" ref="E4:E11" si="0">B4*C4*D4</f>
        <v>11200</v>
      </c>
      <c r="F4" s="62"/>
    </row>
    <row r="5" spans="1:6" x14ac:dyDescent="0.35">
      <c r="A5" s="26" t="s">
        <v>251</v>
      </c>
      <c r="B5" s="22">
        <v>0</v>
      </c>
      <c r="C5" s="23"/>
      <c r="D5" s="24">
        <f>IFERROR(VLOOKUP(A5,[1]!TablaEquipos[#Data],2,FALSE),0)</f>
        <v>700</v>
      </c>
      <c r="E5" s="25">
        <f t="shared" si="0"/>
        <v>0</v>
      </c>
      <c r="F5" s="62"/>
    </row>
    <row r="6" spans="1:6" x14ac:dyDescent="0.35">
      <c r="A6" s="26" t="s">
        <v>252</v>
      </c>
      <c r="B6" s="22">
        <v>8</v>
      </c>
      <c r="C6" s="23">
        <v>2</v>
      </c>
      <c r="D6" s="24">
        <f>IFERROR(VLOOKUP(A6,[1]!TablaEquipos[#Data],2,FALSE),0)</f>
        <v>700</v>
      </c>
      <c r="E6" s="25">
        <f t="shared" si="0"/>
        <v>11200</v>
      </c>
      <c r="F6" s="62"/>
    </row>
    <row r="7" spans="1:6" x14ac:dyDescent="0.35">
      <c r="A7" s="24" t="s">
        <v>228</v>
      </c>
      <c r="B7" s="22">
        <v>1</v>
      </c>
      <c r="C7" s="23"/>
      <c r="D7" s="24">
        <f>IFERROR(VLOOKUP(A7,[1]!TablaEquipos[#Data],2,FALSE),0)</f>
        <v>1500</v>
      </c>
      <c r="E7" s="25">
        <f t="shared" si="0"/>
        <v>0</v>
      </c>
      <c r="F7" s="62"/>
    </row>
    <row r="8" spans="1:6" x14ac:dyDescent="0.35">
      <c r="A8" s="24" t="s">
        <v>224</v>
      </c>
      <c r="B8" s="22">
        <v>1</v>
      </c>
      <c r="C8" s="23">
        <v>2</v>
      </c>
      <c r="D8" s="24">
        <f>IFERROR(VLOOKUP(A8,[1]!TablaEquipos[#Data],2,FALSE),0)</f>
        <v>1500</v>
      </c>
      <c r="E8" s="25">
        <f t="shared" si="0"/>
        <v>3000</v>
      </c>
      <c r="F8" s="62"/>
    </row>
    <row r="9" spans="1:6" x14ac:dyDescent="0.35">
      <c r="A9" s="24" t="s">
        <v>229</v>
      </c>
      <c r="B9" s="22">
        <v>6</v>
      </c>
      <c r="C9" s="23">
        <v>2</v>
      </c>
      <c r="D9" s="24">
        <f>IFERROR(VLOOKUP(A9,[1]!TablaEquipos[#Data],2,FALSE),0)</f>
        <v>1500</v>
      </c>
      <c r="E9" s="25">
        <f t="shared" si="0"/>
        <v>18000</v>
      </c>
      <c r="F9" s="62"/>
    </row>
    <row r="10" spans="1:6" x14ac:dyDescent="0.35">
      <c r="A10" s="26" t="s">
        <v>239</v>
      </c>
      <c r="B10" s="123">
        <v>12</v>
      </c>
      <c r="C10" s="123">
        <v>2</v>
      </c>
      <c r="D10" s="24">
        <f>IFERROR(VLOOKUP(A10,[1]!TablaEquipos[#Data],2,FALSE),0)</f>
        <v>1000</v>
      </c>
      <c r="E10" s="123">
        <f t="shared" si="0"/>
        <v>24000</v>
      </c>
      <c r="F10" s="62"/>
    </row>
    <row r="11" spans="1:6" x14ac:dyDescent="0.35">
      <c r="A11" s="26" t="s">
        <v>242</v>
      </c>
      <c r="B11" s="123">
        <v>10</v>
      </c>
      <c r="C11" s="123">
        <v>2</v>
      </c>
      <c r="D11" s="24">
        <f>IFERROR(VLOOKUP(A11,[1]!TablaEquipos[#Data],2,FALSE),0)</f>
        <v>1000</v>
      </c>
      <c r="E11" s="123">
        <f t="shared" si="0"/>
        <v>20000</v>
      </c>
      <c r="F11" s="62"/>
    </row>
    <row r="12" spans="1:6" x14ac:dyDescent="0.35">
      <c r="A12" s="26" t="s">
        <v>248</v>
      </c>
      <c r="B12" s="123">
        <v>1</v>
      </c>
      <c r="C12" s="123">
        <v>2</v>
      </c>
      <c r="D12" s="24">
        <f>IFERROR(VLOOKUP(A12,[1]!TablaEquipos[#Data],2,FALSE),0)</f>
        <v>100000</v>
      </c>
      <c r="E12" s="123">
        <f>B12*C12*D12</f>
        <v>200000</v>
      </c>
      <c r="F12" s="62"/>
    </row>
    <row r="13" spans="1:6" x14ac:dyDescent="0.35">
      <c r="A13" s="26" t="s">
        <v>249</v>
      </c>
      <c r="B13" s="123">
        <v>1</v>
      </c>
      <c r="C13" s="123">
        <v>2</v>
      </c>
      <c r="D13" s="24">
        <f>IFERROR(VLOOKUP(A13,[1]!TablaEquipos[#Data],2,FALSE),0)</f>
        <v>40000</v>
      </c>
      <c r="E13" s="123">
        <f>B13*C13*D13</f>
        <v>80000</v>
      </c>
      <c r="F13" s="62"/>
    </row>
    <row r="14" spans="1:6" x14ac:dyDescent="0.35">
      <c r="A14" s="26"/>
      <c r="B14" s="123"/>
      <c r="C14" s="123"/>
      <c r="D14" s="24"/>
      <c r="E14" s="123"/>
      <c r="F14" s="62"/>
    </row>
    <row r="15" spans="1:6" x14ac:dyDescent="0.35">
      <c r="A15" s="26"/>
      <c r="B15" s="123"/>
      <c r="C15" s="123"/>
      <c r="D15" s="24"/>
      <c r="E15" s="123"/>
      <c r="F15" s="62"/>
    </row>
    <row r="16" spans="1:6" x14ac:dyDescent="0.35">
      <c r="A16" s="26"/>
      <c r="B16" s="123"/>
      <c r="C16" s="123"/>
      <c r="D16" s="24"/>
      <c r="E16" s="123"/>
      <c r="F16" s="62"/>
    </row>
    <row r="17" spans="1:6" x14ac:dyDescent="0.35">
      <c r="A17" s="26"/>
      <c r="B17" s="123"/>
      <c r="C17" s="123"/>
      <c r="D17" s="24"/>
      <c r="E17" s="123"/>
      <c r="F17" s="62"/>
    </row>
    <row r="18" spans="1:6" x14ac:dyDescent="0.35">
      <c r="A18" s="26"/>
      <c r="B18" s="123"/>
      <c r="C18" s="123"/>
      <c r="D18" s="24"/>
      <c r="E18" s="123"/>
      <c r="F18" s="62"/>
    </row>
    <row r="19" spans="1:6" x14ac:dyDescent="0.35">
      <c r="A19" s="26"/>
      <c r="B19" s="123"/>
      <c r="C19" s="123"/>
      <c r="D19" s="24"/>
      <c r="E19" s="123"/>
      <c r="F19" s="62"/>
    </row>
    <row r="20" spans="1:6" x14ac:dyDescent="0.35">
      <c r="A20" s="26"/>
      <c r="B20" s="123"/>
      <c r="C20" s="123"/>
      <c r="D20" s="24"/>
      <c r="E20" s="123"/>
      <c r="F20" s="62"/>
    </row>
    <row r="21" spans="1:6" ht="15" thickBot="1" x14ac:dyDescent="0.4">
      <c r="A21" s="294"/>
      <c r="B21" s="295"/>
      <c r="C21" s="295"/>
      <c r="D21" s="295"/>
      <c r="E21" s="295"/>
      <c r="F21" s="84">
        <f>SUM(E4:E20)</f>
        <v>367400</v>
      </c>
    </row>
    <row r="22" spans="1:6" x14ac:dyDescent="0.35">
      <c r="A22" s="33" t="s">
        <v>270</v>
      </c>
      <c r="B22" s="34" t="s">
        <v>83</v>
      </c>
      <c r="C22" s="45" t="s">
        <v>84</v>
      </c>
      <c r="D22" s="46" t="s">
        <v>269</v>
      </c>
      <c r="E22" s="37" t="s">
        <v>86</v>
      </c>
      <c r="F22" s="116"/>
    </row>
    <row r="23" spans="1:6" ht="23" x14ac:dyDescent="0.35">
      <c r="A23" s="79" t="s">
        <v>261</v>
      </c>
      <c r="B23" s="85">
        <v>1</v>
      </c>
      <c r="C23" s="23"/>
      <c r="D23" s="27">
        <f>IFERROR(VLOOKUP(A23,[1]!TablaMateriales[#Data],2,FALSE),0)</f>
        <v>55000</v>
      </c>
      <c r="E23" s="25">
        <f t="shared" ref="E23:E30" si="1">B23*D23</f>
        <v>55000</v>
      </c>
      <c r="F23" s="157"/>
    </row>
    <row r="24" spans="1:6" x14ac:dyDescent="0.35">
      <c r="A24" s="79" t="s">
        <v>243</v>
      </c>
      <c r="B24" s="78">
        <v>10</v>
      </c>
      <c r="C24" s="23"/>
      <c r="D24" s="27">
        <f>IFERROR(VLOOKUP(A24,[1]!TablaMateriales[#Data],2,FALSE),0)</f>
        <v>9500</v>
      </c>
      <c r="E24" s="27">
        <f t="shared" si="1"/>
        <v>95000</v>
      </c>
      <c r="F24" s="157"/>
    </row>
    <row r="25" spans="1:6" x14ac:dyDescent="0.35">
      <c r="A25" s="79" t="s">
        <v>403</v>
      </c>
      <c r="B25" s="113">
        <v>5</v>
      </c>
      <c r="C25" s="32"/>
      <c r="D25" s="114">
        <f>IFERROR(VLOOKUP(A25,[1]!TablaMateriales[#Data],2,FALSE),0)</f>
        <v>11500</v>
      </c>
      <c r="E25" s="114">
        <f t="shared" si="1"/>
        <v>57500</v>
      </c>
      <c r="F25" s="157"/>
    </row>
    <row r="26" spans="1:6" x14ac:dyDescent="0.35">
      <c r="A26" s="79" t="s">
        <v>361</v>
      </c>
      <c r="B26" s="78"/>
      <c r="C26" s="23"/>
      <c r="D26" s="27">
        <f>IFERROR(VLOOKUP(A26,[1]!TablaMateriales[#Data],2,FALSE),0)</f>
        <v>0</v>
      </c>
      <c r="E26" s="27">
        <f t="shared" si="1"/>
        <v>0</v>
      </c>
      <c r="F26" s="157"/>
    </row>
    <row r="27" spans="1:6" x14ac:dyDescent="0.35">
      <c r="A27" s="79" t="s">
        <v>363</v>
      </c>
      <c r="B27" s="78"/>
      <c r="C27" s="23"/>
      <c r="D27" s="114">
        <f>IFERROR(VLOOKUP(A27,[1]!TablaMateriales[#Data],2,FALSE),0)</f>
        <v>0</v>
      </c>
      <c r="E27" s="27">
        <f t="shared" si="1"/>
        <v>0</v>
      </c>
      <c r="F27" s="157"/>
    </row>
    <row r="28" spans="1:6" x14ac:dyDescent="0.35">
      <c r="A28" s="79" t="s">
        <v>364</v>
      </c>
      <c r="B28" s="78"/>
      <c r="C28" s="23"/>
      <c r="D28" s="27">
        <f>IFERROR(VLOOKUP(A28,[1]!TablaMateriales[#Data],2,FALSE),0)</f>
        <v>0</v>
      </c>
      <c r="E28" s="27">
        <f t="shared" si="1"/>
        <v>0</v>
      </c>
      <c r="F28" s="157"/>
    </row>
    <row r="29" spans="1:6" x14ac:dyDescent="0.35">
      <c r="A29" s="79" t="s">
        <v>365</v>
      </c>
      <c r="B29" s="78"/>
      <c r="C29" s="23"/>
      <c r="D29" s="27">
        <f>IFERROR(VLOOKUP(A29,[1]!TablaMateriales[#Data],2,FALSE),0)</f>
        <v>0</v>
      </c>
      <c r="E29" s="27">
        <f t="shared" si="1"/>
        <v>0</v>
      </c>
      <c r="F29" s="157"/>
    </row>
    <row r="30" spans="1:6" ht="23" x14ac:dyDescent="0.35">
      <c r="A30" s="79" t="s">
        <v>423</v>
      </c>
      <c r="B30" s="78">
        <v>23</v>
      </c>
      <c r="C30" s="23"/>
      <c r="D30" s="114">
        <f>IFERROR(VLOOKUP(A30,[1]!TablaMateriales[#Data],2,FALSE),0)</f>
        <v>64000</v>
      </c>
      <c r="E30" s="27">
        <f t="shared" si="1"/>
        <v>1472000</v>
      </c>
      <c r="F30" s="157"/>
    </row>
    <row r="31" spans="1:6" x14ac:dyDescent="0.35">
      <c r="A31" s="79"/>
      <c r="B31" s="78"/>
      <c r="C31" s="23"/>
      <c r="D31" s="27">
        <f>IFERROR(VLOOKUP(A31,[1]!TablaMateriales[#Data],2,FALSE),0)</f>
        <v>0</v>
      </c>
      <c r="E31" s="27"/>
      <c r="F31" s="157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7"/>
      <c r="F32" s="157"/>
    </row>
    <row r="33" spans="1:6" x14ac:dyDescent="0.35">
      <c r="A33" s="79"/>
      <c r="B33" s="78"/>
      <c r="C33" s="23"/>
      <c r="D33" s="27">
        <f>IFERROR(VLOOKUP(A33,[1]!TablaMateriales[#Data],2,FALSE),0)</f>
        <v>0</v>
      </c>
      <c r="E33" s="27"/>
      <c r="F33" s="157"/>
    </row>
    <row r="34" spans="1:6" x14ac:dyDescent="0.35">
      <c r="A34" s="79"/>
      <c r="B34" s="78"/>
      <c r="C34" s="23"/>
      <c r="D34" s="27">
        <f>IFERROR(VLOOKUP(A34,[1]!TablaMateriales[#Data],2,FALSE),0)</f>
        <v>0</v>
      </c>
      <c r="E34" s="27"/>
      <c r="F34" s="157"/>
    </row>
    <row r="35" spans="1:6" x14ac:dyDescent="0.35">
      <c r="A35" s="79"/>
      <c r="B35" s="78"/>
      <c r="C35" s="23"/>
      <c r="D35" s="27">
        <f>IFERROR(VLOOKUP(A35,[1]!TablaMateriales[#Data],2,FALSE),0)</f>
        <v>0</v>
      </c>
      <c r="E35" s="27"/>
      <c r="F35" s="157"/>
    </row>
    <row r="36" spans="1:6" ht="15" thickBot="1" x14ac:dyDescent="0.4">
      <c r="A36" s="126"/>
      <c r="B36" s="78"/>
      <c r="C36" s="23"/>
      <c r="D36" s="27">
        <f>IFERROR(VLOOKUP(A36,[1]!TablaMateriales[#Data],2,FALSE),0)</f>
        <v>0</v>
      </c>
      <c r="E36" s="27"/>
      <c r="F36" s="191"/>
    </row>
    <row r="37" spans="1:6" x14ac:dyDescent="0.35">
      <c r="A37" s="314"/>
      <c r="B37" s="314"/>
      <c r="C37" s="314"/>
      <c r="D37" s="314"/>
      <c r="E37" s="314"/>
      <c r="F37" s="116">
        <f>SUM(E23:E36)</f>
        <v>1679500</v>
      </c>
    </row>
    <row r="38" spans="1:6" x14ac:dyDescent="0.35">
      <c r="A38" s="33" t="s">
        <v>88</v>
      </c>
      <c r="B38" s="34" t="s">
        <v>83</v>
      </c>
      <c r="C38" s="35" t="s">
        <v>84</v>
      </c>
      <c r="D38" s="36" t="s">
        <v>89</v>
      </c>
      <c r="E38" s="37" t="s">
        <v>86</v>
      </c>
      <c r="F38" s="315"/>
    </row>
    <row r="39" spans="1:6" x14ac:dyDescent="0.35">
      <c r="A39" s="38" t="s">
        <v>272</v>
      </c>
      <c r="B39" s="34">
        <v>1</v>
      </c>
      <c r="C39" s="35">
        <v>2.5</v>
      </c>
      <c r="D39" s="39">
        <v>471540.27489333332</v>
      </c>
      <c r="E39" s="37">
        <f>B39*C39*D39</f>
        <v>1178850.6872333332</v>
      </c>
      <c r="F39" s="316"/>
    </row>
    <row r="40" spans="1:6" x14ac:dyDescent="0.35">
      <c r="A40" s="107" t="s">
        <v>273</v>
      </c>
      <c r="B40" s="20">
        <v>1</v>
      </c>
      <c r="C40" s="40">
        <v>2.5</v>
      </c>
      <c r="D40" s="39">
        <v>471540.27489333332</v>
      </c>
      <c r="E40" s="21">
        <f t="shared" ref="E40:E46" si="2">B40*C40*D40</f>
        <v>1178850.6872333332</v>
      </c>
      <c r="F40" s="316"/>
    </row>
    <row r="41" spans="1:6" x14ac:dyDescent="0.35">
      <c r="A41" s="107" t="s">
        <v>277</v>
      </c>
      <c r="B41" s="20">
        <v>1</v>
      </c>
      <c r="C41" s="35"/>
      <c r="D41" s="39">
        <v>471540.27489333332</v>
      </c>
      <c r="E41" s="21">
        <f>B41*C41*D41</f>
        <v>0</v>
      </c>
      <c r="F41" s="316"/>
    </row>
    <row r="42" spans="1:6" x14ac:dyDescent="0.35">
      <c r="A42" s="107" t="s">
        <v>278</v>
      </c>
      <c r="B42" s="20">
        <v>1.5</v>
      </c>
      <c r="C42" s="35"/>
      <c r="D42" s="39">
        <v>399154.66304000001</v>
      </c>
      <c r="E42" s="21">
        <f>B42*C42*D42</f>
        <v>0</v>
      </c>
      <c r="F42" s="316"/>
    </row>
    <row r="43" spans="1:6" x14ac:dyDescent="0.35">
      <c r="A43" s="107" t="s">
        <v>276</v>
      </c>
      <c r="B43" s="20">
        <v>2</v>
      </c>
      <c r="C43" s="35"/>
      <c r="D43" s="39">
        <v>399154.66304000001</v>
      </c>
      <c r="E43" s="21">
        <f>B43*C43*D43</f>
        <v>0</v>
      </c>
      <c r="F43" s="316"/>
    </row>
    <row r="44" spans="1:6" x14ac:dyDescent="0.35">
      <c r="A44" s="107" t="s">
        <v>274</v>
      </c>
      <c r="B44" s="20">
        <v>2</v>
      </c>
      <c r="C44" s="35">
        <v>2.5</v>
      </c>
      <c r="D44" s="39">
        <v>383405.20943333331</v>
      </c>
      <c r="E44" s="21">
        <f t="shared" si="2"/>
        <v>1917026.0471666665</v>
      </c>
      <c r="F44" s="316"/>
    </row>
    <row r="45" spans="1:6" x14ac:dyDescent="0.35">
      <c r="A45" s="107" t="s">
        <v>223</v>
      </c>
      <c r="B45" s="20">
        <v>1</v>
      </c>
      <c r="C45" s="35">
        <v>2.5</v>
      </c>
      <c r="D45" s="39">
        <v>355463.24792666658</v>
      </c>
      <c r="E45" s="21">
        <f>B45*C45*D45</f>
        <v>888658.11981666647</v>
      </c>
      <c r="F45" s="316"/>
    </row>
    <row r="46" spans="1:6" x14ac:dyDescent="0.35">
      <c r="A46" s="107" t="s">
        <v>275</v>
      </c>
      <c r="B46" s="117">
        <v>8</v>
      </c>
      <c r="C46" s="118">
        <v>2.5</v>
      </c>
      <c r="D46" s="119">
        <v>355463.24792666658</v>
      </c>
      <c r="E46" s="120">
        <f t="shared" si="2"/>
        <v>7109264.9585333318</v>
      </c>
      <c r="F46" s="316"/>
    </row>
    <row r="47" spans="1:6" x14ac:dyDescent="0.35">
      <c r="A47" s="287"/>
      <c r="B47" s="287"/>
      <c r="C47" s="287"/>
      <c r="D47" s="287"/>
      <c r="E47" s="287"/>
      <c r="F47" s="121">
        <f>SUM(E39:E46)</f>
        <v>12272650.499983331</v>
      </c>
    </row>
    <row r="48" spans="1:6" x14ac:dyDescent="0.35">
      <c r="A48" s="33" t="s">
        <v>279</v>
      </c>
      <c r="B48" s="34" t="s">
        <v>83</v>
      </c>
      <c r="C48" s="35" t="s">
        <v>84</v>
      </c>
      <c r="D48" s="36" t="s">
        <v>269</v>
      </c>
      <c r="E48" s="37" t="s">
        <v>86</v>
      </c>
      <c r="F48" s="62"/>
    </row>
    <row r="49" spans="1:6" x14ac:dyDescent="0.35">
      <c r="A49" s="164" t="s">
        <v>240</v>
      </c>
      <c r="B49" s="108">
        <v>1</v>
      </c>
      <c r="C49" s="108">
        <v>2</v>
      </c>
      <c r="D49" s="108">
        <f>IFERROR(VLOOKUP(A49,[1]!TablaTransporte[#Data],2,FALSE),0)</f>
        <v>550000</v>
      </c>
      <c r="E49" s="110">
        <f>B49*C49*D49</f>
        <v>1100000</v>
      </c>
      <c r="F49" s="170"/>
    </row>
    <row r="50" spans="1:6" x14ac:dyDescent="0.35">
      <c r="A50" s="164" t="s">
        <v>245</v>
      </c>
      <c r="B50" s="128">
        <v>1</v>
      </c>
      <c r="C50" s="195">
        <v>0.5</v>
      </c>
      <c r="D50" s="108">
        <f>IFERROR(VLOOKUP(A50,[1]!TablaTransporte[#Data],2,FALSE),0)</f>
        <v>1350000</v>
      </c>
      <c r="E50" s="128">
        <f>C50*D50</f>
        <v>675000</v>
      </c>
      <c r="F50" s="171"/>
    </row>
    <row r="51" spans="1:6" x14ac:dyDescent="0.35">
      <c r="A51" s="164" t="s">
        <v>281</v>
      </c>
      <c r="B51" s="128">
        <v>1</v>
      </c>
      <c r="C51" s="194">
        <v>0.5</v>
      </c>
      <c r="D51" s="128">
        <f>IFERROR(VLOOKUP(A51,[1]!TablaTransporte[#Data],2,FALSE),0)</f>
        <v>840000</v>
      </c>
      <c r="E51" s="128">
        <f>B51*C51*D51</f>
        <v>420000</v>
      </c>
      <c r="F51" s="171"/>
    </row>
    <row r="52" spans="1:6" x14ac:dyDescent="0.35">
      <c r="A52" s="130" t="s">
        <v>381</v>
      </c>
      <c r="B52" s="128">
        <v>1</v>
      </c>
      <c r="C52" s="128">
        <v>1</v>
      </c>
      <c r="D52" s="128">
        <f>IFERROR(VLOOKUP(A52,[1]!TablaTransporte[#Data],2,FALSE),0)</f>
        <v>600000</v>
      </c>
      <c r="E52" s="128">
        <f>B52*C52*D52</f>
        <v>600000</v>
      </c>
      <c r="F52" s="171"/>
    </row>
    <row r="53" spans="1:6" x14ac:dyDescent="0.35">
      <c r="A53" s="130"/>
      <c r="B53" s="128"/>
      <c r="C53" s="128"/>
      <c r="D53" s="128">
        <f>IFERROR(VLOOKUP(A53,[1]!TablaTransporte[#Data],2,FALSE),0)</f>
        <v>0</v>
      </c>
      <c r="E53" s="128"/>
      <c r="F53" s="171"/>
    </row>
    <row r="54" spans="1:6" x14ac:dyDescent="0.35">
      <c r="A54" s="130"/>
      <c r="B54" s="128"/>
      <c r="C54" s="128"/>
      <c r="D54" s="128">
        <f>IFERROR(VLOOKUP(A54,[1]!TablaTransporte[#Data],2,FALSE),0)</f>
        <v>0</v>
      </c>
      <c r="E54" s="128"/>
      <c r="F54" s="171"/>
    </row>
    <row r="55" spans="1:6" x14ac:dyDescent="0.35">
      <c r="A55" s="130"/>
      <c r="B55" s="128"/>
      <c r="C55" s="128"/>
      <c r="D55" s="128">
        <f>IFERROR(VLOOKUP(A55,[1]!TablaTransporte[#Data],2,FALSE),0)</f>
        <v>0</v>
      </c>
      <c r="E55" s="128"/>
      <c r="F55" s="171"/>
    </row>
    <row r="56" spans="1:6" x14ac:dyDescent="0.35">
      <c r="A56" s="130"/>
      <c r="B56" s="128"/>
      <c r="C56" s="128"/>
      <c r="D56" s="128">
        <f>IFERROR(VLOOKUP(A56,[1]!TablaTransporte[#Data],2,FALSE),0)</f>
        <v>0</v>
      </c>
      <c r="E56" s="128"/>
      <c r="F56" s="171"/>
    </row>
    <row r="57" spans="1:6" x14ac:dyDescent="0.35">
      <c r="A57" s="319"/>
      <c r="B57" s="320"/>
      <c r="C57" s="320"/>
      <c r="D57" s="320"/>
      <c r="E57" s="321"/>
      <c r="F57" s="172"/>
    </row>
    <row r="58" spans="1:6" ht="15" thickBot="1" x14ac:dyDescent="0.4">
      <c r="A58" s="322"/>
      <c r="B58" s="292"/>
      <c r="C58" s="292"/>
      <c r="D58" s="292"/>
      <c r="E58" s="323"/>
      <c r="F58" s="42">
        <f>SUM(E49:E56)</f>
        <v>2795000</v>
      </c>
    </row>
    <row r="59" spans="1:6" ht="15" thickBot="1" x14ac:dyDescent="0.4">
      <c r="A59" s="302"/>
      <c r="B59" s="300"/>
      <c r="C59" s="300"/>
      <c r="D59" s="300"/>
      <c r="E59" s="301"/>
      <c r="F59" s="42">
        <f>F21+F37+F47+F58</f>
        <v>17114550.499983333</v>
      </c>
    </row>
    <row r="60" spans="1:6" ht="15" thickBot="1" x14ac:dyDescent="0.4">
      <c r="A60" s="286"/>
      <c r="B60" s="286"/>
      <c r="C60" s="286"/>
      <c r="D60" s="286"/>
      <c r="E60" s="286"/>
      <c r="F60" s="44">
        <f>F59*A59</f>
        <v>0</v>
      </c>
    </row>
    <row r="61" spans="1:6" ht="15" thickBot="1" x14ac:dyDescent="0.4">
      <c r="A61" s="317"/>
      <c r="B61" s="306"/>
      <c r="C61" s="306"/>
      <c r="D61" s="306"/>
      <c r="E61" s="282"/>
      <c r="F61" s="28">
        <f>F59+F60</f>
        <v>17114550.499983333</v>
      </c>
    </row>
    <row r="62" spans="1:6" ht="15" thickBot="1" x14ac:dyDescent="0.4">
      <c r="F62" s="28">
        <f>F61*A61</f>
        <v>0</v>
      </c>
    </row>
    <row r="63" spans="1:6" x14ac:dyDescent="0.35">
      <c r="F63" s="80">
        <f>F61+F62</f>
        <v>17114550.499983333</v>
      </c>
    </row>
    <row r="64" spans="1:6" x14ac:dyDescent="0.35">
      <c r="F64" s="176">
        <f>F63/F3</f>
        <v>814978.59523730155</v>
      </c>
    </row>
  </sheetData>
  <mergeCells count="10">
    <mergeCell ref="F38:F46"/>
    <mergeCell ref="A47:E47"/>
    <mergeCell ref="A57:E57"/>
    <mergeCell ref="A1:F1"/>
    <mergeCell ref="A21:E21"/>
    <mergeCell ref="A58:E58"/>
    <mergeCell ref="A59:E59"/>
    <mergeCell ref="A60:E60"/>
    <mergeCell ref="A61:E61"/>
    <mergeCell ref="A37:E37"/>
  </mergeCells>
  <dataValidations count="3">
    <dataValidation type="list" allowBlank="1" showInputMessage="1" showErrorMessage="1" sqref="A3:A21" xr:uid="{5486DA83-3651-47D6-9423-0DD017F83DA9}">
      <formula1>ListaEquipos</formula1>
    </dataValidation>
    <dataValidation type="list" allowBlank="1" showInputMessage="1" showErrorMessage="1" sqref="A50:A56" xr:uid="{6D7AF46D-B06D-4641-B603-431FFA50235B}">
      <formula1>ListaTransporte</formula1>
    </dataValidation>
    <dataValidation type="list" allowBlank="1" showInputMessage="1" showErrorMessage="1" sqref="A23:A37" xr:uid="{A8002A0F-887C-452A-807F-CDA5AC2EDD61}">
      <formula1>ListaMateriales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1B6A-EBB9-44CB-8C97-B43DC00B3E40}">
  <sheetPr>
    <tabColor rgb="FF00B050"/>
  </sheetPr>
  <dimension ref="A1:F67"/>
  <sheetViews>
    <sheetView topLeftCell="A22" workbookViewId="0">
      <selection activeCell="D30" sqref="D30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54296875" bestFit="1" customWidth="1"/>
    <col min="6" max="6" width="13.81640625" customWidth="1"/>
  </cols>
  <sheetData>
    <row r="1" spans="1:6" x14ac:dyDescent="0.35">
      <c r="A1" s="306" t="s">
        <v>183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6</v>
      </c>
    </row>
    <row r="4" spans="1:6" x14ac:dyDescent="0.35">
      <c r="A4" s="26" t="s">
        <v>227</v>
      </c>
      <c r="B4" s="22">
        <v>4</v>
      </c>
      <c r="C4" s="23">
        <v>2</v>
      </c>
      <c r="D4" s="24">
        <f>IFERROR(VLOOKUP(A4,[1]!TablaEquipos[#Data],2,FALSE),0)</f>
        <v>700</v>
      </c>
      <c r="E4" s="25">
        <f t="shared" ref="E4:E18" si="0">B4*C4*D4</f>
        <v>5600</v>
      </c>
      <c r="F4" s="62"/>
    </row>
    <row r="5" spans="1:6" x14ac:dyDescent="0.35">
      <c r="A5" s="26" t="s">
        <v>251</v>
      </c>
      <c r="B5" s="22">
        <v>2</v>
      </c>
      <c r="C5" s="23"/>
      <c r="D5" s="24">
        <f>IFERROR(VLOOKUP(A5,[1]!TablaEquipos[#Data],2,FALSE),0)</f>
        <v>700</v>
      </c>
      <c r="E5" s="25">
        <f t="shared" si="0"/>
        <v>0</v>
      </c>
      <c r="F5" s="62"/>
    </row>
    <row r="6" spans="1:6" x14ac:dyDescent="0.35">
      <c r="A6" s="26" t="s">
        <v>252</v>
      </c>
      <c r="B6" s="22">
        <v>4</v>
      </c>
      <c r="C6" s="23">
        <v>2</v>
      </c>
      <c r="D6" s="24">
        <f>IFERROR(VLOOKUP(A6,[1]!TablaEquipos[#Data],2,FALSE),0)</f>
        <v>700</v>
      </c>
      <c r="E6" s="25">
        <f t="shared" si="0"/>
        <v>5600</v>
      </c>
      <c r="F6" s="62"/>
    </row>
    <row r="7" spans="1:6" x14ac:dyDescent="0.35">
      <c r="A7" s="26" t="s">
        <v>231</v>
      </c>
      <c r="B7" s="22"/>
      <c r="C7" s="23"/>
      <c r="D7" s="24">
        <f>IFERROR(VLOOKUP(A7,[1]!TablaEquipos[#Data],2,FALSE),0)</f>
        <v>1500</v>
      </c>
      <c r="E7" s="25">
        <f t="shared" si="0"/>
        <v>0</v>
      </c>
      <c r="F7" s="62"/>
    </row>
    <row r="8" spans="1:6" x14ac:dyDescent="0.35">
      <c r="A8" s="24" t="s">
        <v>228</v>
      </c>
      <c r="B8" s="22">
        <v>1</v>
      </c>
      <c r="C8" s="23"/>
      <c r="D8" s="24">
        <f>IFERROR(VLOOKUP(A8,[1]!TablaEquipos[#Data],2,FALSE),0)</f>
        <v>1500</v>
      </c>
      <c r="E8" s="25">
        <f t="shared" si="0"/>
        <v>0</v>
      </c>
      <c r="F8" s="62"/>
    </row>
    <row r="9" spans="1:6" x14ac:dyDescent="0.35">
      <c r="A9" s="24" t="s">
        <v>224</v>
      </c>
      <c r="B9" s="22">
        <v>1</v>
      </c>
      <c r="C9" s="23">
        <v>2</v>
      </c>
      <c r="D9" s="24">
        <f>IFERROR(VLOOKUP(A9,[1]!TablaEquipos[#Data],2,FALSE),0)</f>
        <v>1500</v>
      </c>
      <c r="E9" s="25">
        <f t="shared" si="0"/>
        <v>3000</v>
      </c>
      <c r="F9" s="62"/>
    </row>
    <row r="10" spans="1:6" x14ac:dyDescent="0.35">
      <c r="A10" s="26" t="s">
        <v>230</v>
      </c>
      <c r="B10" s="22"/>
      <c r="C10" s="23"/>
      <c r="D10" s="24">
        <f>IFERROR(VLOOKUP(A10,[1]!TablaEquipos[#Data],2,FALSE),0)</f>
        <v>15000</v>
      </c>
      <c r="E10" s="25">
        <f t="shared" si="0"/>
        <v>0</v>
      </c>
      <c r="F10" s="62"/>
    </row>
    <row r="11" spans="1:6" x14ac:dyDescent="0.35">
      <c r="A11" s="24" t="s">
        <v>229</v>
      </c>
      <c r="B11" s="22">
        <v>4</v>
      </c>
      <c r="C11" s="23">
        <v>2</v>
      </c>
      <c r="D11" s="24">
        <f>IFERROR(VLOOKUP(A11,[1]!TablaEquipos[#Data],2,FALSE),0)</f>
        <v>1500</v>
      </c>
      <c r="E11" s="25">
        <f t="shared" si="0"/>
        <v>12000</v>
      </c>
      <c r="F11" s="62"/>
    </row>
    <row r="12" spans="1:6" x14ac:dyDescent="0.35">
      <c r="A12" s="26" t="s">
        <v>248</v>
      </c>
      <c r="B12" s="22">
        <v>1</v>
      </c>
      <c r="C12" s="23">
        <v>1</v>
      </c>
      <c r="D12" s="24">
        <f>IFERROR(VLOOKUP(A12,[1]!TablaEquipos[#Data],2,FALSE),0)</f>
        <v>100000</v>
      </c>
      <c r="E12" s="25">
        <f t="shared" si="0"/>
        <v>100000</v>
      </c>
      <c r="F12" s="62"/>
    </row>
    <row r="13" spans="1:6" ht="23" x14ac:dyDescent="0.35">
      <c r="A13" s="26" t="s">
        <v>249</v>
      </c>
      <c r="B13" s="22">
        <v>1</v>
      </c>
      <c r="C13" s="23"/>
      <c r="D13" s="24">
        <f>IFERROR(VLOOKUP(A13,[1]!TablaEquipos[#Data],2,FALSE),0)</f>
        <v>40000</v>
      </c>
      <c r="E13" s="25">
        <f t="shared" si="0"/>
        <v>0</v>
      </c>
      <c r="F13" s="62"/>
    </row>
    <row r="14" spans="1:6" ht="23" x14ac:dyDescent="0.35">
      <c r="A14" s="26" t="s">
        <v>250</v>
      </c>
      <c r="B14" s="22">
        <v>1</v>
      </c>
      <c r="C14" s="23"/>
      <c r="D14" s="24">
        <f>IFERROR(VLOOKUP(A14,[1]!TablaEquipos[#Data],2,FALSE),0)</f>
        <v>60000</v>
      </c>
      <c r="E14" s="25">
        <f t="shared" si="0"/>
        <v>0</v>
      </c>
      <c r="F14" s="62"/>
    </row>
    <row r="15" spans="1:6" x14ac:dyDescent="0.35">
      <c r="A15" s="26" t="s">
        <v>301</v>
      </c>
      <c r="B15" s="22"/>
      <c r="C15" s="23"/>
      <c r="D15" s="24">
        <f>IFERROR(VLOOKUP(A15,[1]!TablaEquipos[#Data],2,FALSE),0)</f>
        <v>500</v>
      </c>
      <c r="E15" s="25">
        <f t="shared" si="0"/>
        <v>0</v>
      </c>
      <c r="F15" s="62"/>
    </row>
    <row r="16" spans="1:6" x14ac:dyDescent="0.35">
      <c r="A16" s="26" t="s">
        <v>347</v>
      </c>
      <c r="B16" s="123"/>
      <c r="C16" s="123"/>
      <c r="D16" s="24">
        <f>IFERROR(VLOOKUP(A16,[1]!TablaEquipos[#Data],2,FALSE),0)</f>
        <v>625</v>
      </c>
      <c r="E16" s="123">
        <f t="shared" si="0"/>
        <v>0</v>
      </c>
      <c r="F16" s="62"/>
    </row>
    <row r="17" spans="1:6" x14ac:dyDescent="0.35">
      <c r="A17" s="26" t="s">
        <v>239</v>
      </c>
      <c r="B17" s="123">
        <v>12</v>
      </c>
      <c r="C17" s="123">
        <v>2</v>
      </c>
      <c r="D17" s="24">
        <f>IFERROR(VLOOKUP(A17,[1]!TablaEquipos[#Data],2,FALSE),0)</f>
        <v>1000</v>
      </c>
      <c r="E17" s="123">
        <f t="shared" si="0"/>
        <v>24000</v>
      </c>
      <c r="F17" s="62"/>
    </row>
    <row r="18" spans="1:6" x14ac:dyDescent="0.35">
      <c r="A18" s="26" t="s">
        <v>242</v>
      </c>
      <c r="B18" s="123">
        <v>10</v>
      </c>
      <c r="C18" s="123">
        <v>2</v>
      </c>
      <c r="D18" s="24">
        <f>IFERROR(VLOOKUP(A18,[1]!TablaEquipos[#Data],2,FALSE),0)</f>
        <v>1000</v>
      </c>
      <c r="E18" s="123">
        <f t="shared" si="0"/>
        <v>20000</v>
      </c>
      <c r="F18" s="62"/>
    </row>
    <row r="19" spans="1:6" ht="15.5" x14ac:dyDescent="0.35">
      <c r="A19" s="133"/>
      <c r="B19" s="123"/>
      <c r="C19" s="123"/>
      <c r="D19" s="24"/>
      <c r="E19" s="123"/>
      <c r="F19" s="62"/>
    </row>
    <row r="20" spans="1:6" ht="15.5" x14ac:dyDescent="0.35">
      <c r="A20" s="133"/>
      <c r="B20" s="123"/>
      <c r="C20" s="123"/>
      <c r="D20" s="24"/>
      <c r="E20" s="123"/>
      <c r="F20" s="62"/>
    </row>
    <row r="21" spans="1:6" ht="15.5" x14ac:dyDescent="0.35">
      <c r="A21" s="122"/>
      <c r="B21" s="123"/>
      <c r="C21" s="123"/>
      <c r="D21" s="24"/>
      <c r="E21" s="123"/>
      <c r="F21" s="62"/>
    </row>
    <row r="22" spans="1:6" ht="15.5" x14ac:dyDescent="0.35">
      <c r="A22" s="122"/>
      <c r="B22" s="123"/>
      <c r="C22" s="123"/>
      <c r="D22" s="24"/>
      <c r="E22" s="123"/>
      <c r="F22" s="62"/>
    </row>
    <row r="23" spans="1:6" ht="15.5" x14ac:dyDescent="0.35">
      <c r="A23" s="122"/>
      <c r="B23" s="123"/>
      <c r="C23" s="123"/>
      <c r="D23" s="24"/>
      <c r="E23" s="123"/>
      <c r="F23" s="62"/>
    </row>
    <row r="24" spans="1:6" ht="15.5" x14ac:dyDescent="0.35">
      <c r="A24" s="122"/>
      <c r="B24" s="123"/>
      <c r="C24" s="123"/>
      <c r="D24" s="24"/>
      <c r="E24" s="123"/>
      <c r="F24" s="62"/>
    </row>
    <row r="25" spans="1:6" ht="15.5" x14ac:dyDescent="0.35">
      <c r="A25" s="122"/>
      <c r="B25" s="123"/>
      <c r="C25" s="123"/>
      <c r="D25" s="24"/>
      <c r="E25" s="123"/>
      <c r="F25" s="62"/>
    </row>
    <row r="26" spans="1:6" ht="15.5" x14ac:dyDescent="0.35">
      <c r="A26" s="122"/>
      <c r="B26" s="123"/>
      <c r="C26" s="123"/>
      <c r="D26" s="24"/>
      <c r="E26" s="123"/>
      <c r="F26" s="62"/>
    </row>
    <row r="27" spans="1:6" ht="15.5" x14ac:dyDescent="0.35">
      <c r="A27" s="122"/>
      <c r="B27" s="123"/>
      <c r="C27" s="123"/>
      <c r="D27" s="24"/>
      <c r="E27" s="123"/>
      <c r="F27" s="62"/>
    </row>
    <row r="28" spans="1:6" ht="15" thickBot="1" x14ac:dyDescent="0.4">
      <c r="A28" s="294"/>
      <c r="B28" s="295"/>
      <c r="C28" s="295"/>
      <c r="D28" s="295"/>
      <c r="E28" s="295"/>
      <c r="F28" s="84">
        <f>SUM(E4:E27)</f>
        <v>170200</v>
      </c>
    </row>
    <row r="29" spans="1:6" x14ac:dyDescent="0.35">
      <c r="A29" s="33" t="s">
        <v>270</v>
      </c>
      <c r="B29" s="34" t="s">
        <v>83</v>
      </c>
      <c r="C29" s="45" t="s">
        <v>84</v>
      </c>
      <c r="D29" s="46" t="s">
        <v>269</v>
      </c>
      <c r="E29" s="37" t="s">
        <v>86</v>
      </c>
      <c r="F29" s="116"/>
    </row>
    <row r="30" spans="1:6" ht="23" x14ac:dyDescent="0.35">
      <c r="A30" s="26" t="s">
        <v>261</v>
      </c>
      <c r="B30" s="85">
        <v>1</v>
      </c>
      <c r="C30" s="23"/>
      <c r="D30" s="27">
        <f>IFERROR(VLOOKUP(A30,[1]!TablaMateriales[#Data],2,FALSE),0)</f>
        <v>55000</v>
      </c>
      <c r="E30" s="27">
        <f t="shared" ref="E30:E35" si="1">B30*D30</f>
        <v>55000</v>
      </c>
      <c r="F30" s="157"/>
    </row>
    <row r="31" spans="1:6" x14ac:dyDescent="0.35">
      <c r="A31" s="26" t="s">
        <v>243</v>
      </c>
      <c r="B31" s="78">
        <v>10</v>
      </c>
      <c r="C31" s="23"/>
      <c r="D31" s="27">
        <f>IFERROR(VLOOKUP(A31,[1]!TablaMateriales[#Data],2,FALSE),0)</f>
        <v>9500</v>
      </c>
      <c r="E31" s="27">
        <f t="shared" si="1"/>
        <v>95000</v>
      </c>
      <c r="F31" s="157"/>
    </row>
    <row r="32" spans="1:6" x14ac:dyDescent="0.35">
      <c r="A32" s="26" t="s">
        <v>403</v>
      </c>
      <c r="B32" s="113">
        <v>5</v>
      </c>
      <c r="C32" s="32"/>
      <c r="D32" s="114">
        <f>IFERROR(VLOOKUP(A32,[1]!TablaMateriales[#Data],2,FALSE),0)</f>
        <v>11500</v>
      </c>
      <c r="E32" s="27">
        <f t="shared" si="1"/>
        <v>57500</v>
      </c>
      <c r="F32" s="157"/>
    </row>
    <row r="33" spans="1:6" x14ac:dyDescent="0.35">
      <c r="A33" s="26" t="s">
        <v>440</v>
      </c>
      <c r="B33" s="78">
        <v>300</v>
      </c>
      <c r="C33" s="23"/>
      <c r="D33" s="114">
        <f>IFERROR(VLOOKUP(A33,[1]!TablaMateriales[#Data],2,FALSE),0)</f>
        <v>2200</v>
      </c>
      <c r="E33" s="27">
        <f t="shared" si="1"/>
        <v>660000</v>
      </c>
      <c r="F33" s="157"/>
    </row>
    <row r="34" spans="1:6" ht="23" x14ac:dyDescent="0.35">
      <c r="A34" s="26" t="s">
        <v>427</v>
      </c>
      <c r="B34" s="78">
        <v>5</v>
      </c>
      <c r="C34" s="23"/>
      <c r="D34" s="27">
        <f>IFERROR(VLOOKUP(A34,[1]!TablaMateriales[#Data],2,FALSE),0)</f>
        <v>31000</v>
      </c>
      <c r="E34" s="27">
        <f t="shared" si="1"/>
        <v>155000</v>
      </c>
      <c r="F34" s="157"/>
    </row>
    <row r="35" spans="1:6" ht="23" x14ac:dyDescent="0.35">
      <c r="A35" s="26" t="s">
        <v>425</v>
      </c>
      <c r="B35" s="78">
        <v>5</v>
      </c>
      <c r="C35" s="23"/>
      <c r="D35" s="27">
        <f>IFERROR(VLOOKUP(A35,[1]!TablaMateriales[#Data],2,FALSE),0)</f>
        <v>21000</v>
      </c>
      <c r="E35" s="27">
        <f t="shared" si="1"/>
        <v>105000</v>
      </c>
      <c r="F35" s="157"/>
    </row>
    <row r="36" spans="1:6" ht="15" thickBot="1" x14ac:dyDescent="0.4">
      <c r="A36" s="126"/>
      <c r="B36" s="78"/>
      <c r="C36" s="23"/>
      <c r="D36" s="27">
        <f>IFERROR(VLOOKUP(A36,[1]!TablaMateriales[#Data],2,FALSE),0)</f>
        <v>0</v>
      </c>
      <c r="E36" s="27"/>
      <c r="F36" s="157"/>
    </row>
    <row r="37" spans="1:6" x14ac:dyDescent="0.35">
      <c r="A37" s="314"/>
      <c r="B37" s="314"/>
      <c r="C37" s="314"/>
      <c r="D37" s="314"/>
      <c r="E37" s="314"/>
      <c r="F37" s="116">
        <f>SUM(E30:E36)</f>
        <v>1127500</v>
      </c>
    </row>
    <row r="38" spans="1:6" x14ac:dyDescent="0.35">
      <c r="A38" s="33" t="s">
        <v>88</v>
      </c>
      <c r="B38" s="34" t="s">
        <v>83</v>
      </c>
      <c r="C38" s="35" t="s">
        <v>84</v>
      </c>
      <c r="D38" s="36" t="s">
        <v>89</v>
      </c>
      <c r="E38" s="37" t="s">
        <v>86</v>
      </c>
      <c r="F38" s="315"/>
    </row>
    <row r="39" spans="1:6" x14ac:dyDescent="0.35">
      <c r="A39" s="38" t="s">
        <v>272</v>
      </c>
      <c r="B39" s="34">
        <v>1</v>
      </c>
      <c r="C39" s="35">
        <v>3.16</v>
      </c>
      <c r="D39" s="39">
        <v>434781.13826000009</v>
      </c>
      <c r="E39" s="37">
        <f>B39*C39*D39</f>
        <v>1373908.3969016003</v>
      </c>
      <c r="F39" s="316"/>
    </row>
    <row r="40" spans="1:6" x14ac:dyDescent="0.35">
      <c r="A40" s="107" t="s">
        <v>273</v>
      </c>
      <c r="B40" s="20">
        <v>1</v>
      </c>
      <c r="C40" s="40">
        <v>3.16</v>
      </c>
      <c r="D40" s="39">
        <v>434781.13826000009</v>
      </c>
      <c r="E40" s="21">
        <f t="shared" ref="E40:E46" si="2">B40*C40*D40</f>
        <v>1373908.3969016003</v>
      </c>
      <c r="F40" s="316"/>
    </row>
    <row r="41" spans="1:6" x14ac:dyDescent="0.35">
      <c r="A41" s="107" t="s">
        <v>277</v>
      </c>
      <c r="B41" s="20">
        <v>1</v>
      </c>
      <c r="C41" s="35"/>
      <c r="D41" s="39">
        <v>434781.13826000009</v>
      </c>
      <c r="E41" s="21">
        <f>B41*C41*D41</f>
        <v>0</v>
      </c>
      <c r="F41" s="316"/>
    </row>
    <row r="42" spans="1:6" x14ac:dyDescent="0.35">
      <c r="A42" s="107" t="s">
        <v>278</v>
      </c>
      <c r="B42" s="20">
        <v>1.5</v>
      </c>
      <c r="C42" s="35"/>
      <c r="D42" s="39">
        <v>383405.20943333331</v>
      </c>
      <c r="E42" s="21">
        <f>B42*C42*D42</f>
        <v>0</v>
      </c>
      <c r="F42" s="316"/>
    </row>
    <row r="43" spans="1:6" x14ac:dyDescent="0.35">
      <c r="A43" s="107" t="s">
        <v>276</v>
      </c>
      <c r="B43" s="20">
        <v>2</v>
      </c>
      <c r="C43" s="35"/>
      <c r="D43" s="39">
        <v>383405.20943333331</v>
      </c>
      <c r="E43" s="21">
        <f>B43*C43*D43</f>
        <v>0</v>
      </c>
      <c r="F43" s="316"/>
    </row>
    <row r="44" spans="1:6" x14ac:dyDescent="0.35">
      <c r="A44" s="107" t="s">
        <v>274</v>
      </c>
      <c r="B44" s="20">
        <v>2</v>
      </c>
      <c r="C44" s="35">
        <v>3.16</v>
      </c>
      <c r="D44" s="39">
        <v>355463.24792666658</v>
      </c>
      <c r="E44" s="21">
        <f t="shared" si="2"/>
        <v>2246527.7268965328</v>
      </c>
      <c r="F44" s="316"/>
    </row>
    <row r="45" spans="1:6" x14ac:dyDescent="0.35">
      <c r="A45" s="107" t="s">
        <v>223</v>
      </c>
      <c r="B45" s="20">
        <v>1</v>
      </c>
      <c r="C45" s="35">
        <v>3.16</v>
      </c>
      <c r="D45" s="39">
        <v>383405.20943333331</v>
      </c>
      <c r="E45" s="21">
        <f>B45*C45*D45</f>
        <v>1211560.4618093334</v>
      </c>
      <c r="F45" s="316"/>
    </row>
    <row r="46" spans="1:6" x14ac:dyDescent="0.35">
      <c r="A46" s="107" t="s">
        <v>275</v>
      </c>
      <c r="B46" s="117">
        <v>8</v>
      </c>
      <c r="C46" s="118">
        <v>3.16</v>
      </c>
      <c r="D46" s="119">
        <v>355463.24792666658</v>
      </c>
      <c r="E46" s="120">
        <f t="shared" si="2"/>
        <v>8986110.9075861312</v>
      </c>
      <c r="F46" s="316"/>
    </row>
    <row r="47" spans="1:6" x14ac:dyDescent="0.35">
      <c r="A47" s="287"/>
      <c r="B47" s="287"/>
      <c r="C47" s="287"/>
      <c r="D47" s="287"/>
      <c r="E47" s="287"/>
      <c r="F47" s="121">
        <f>SUM(E39:E46)</f>
        <v>15192015.890095199</v>
      </c>
    </row>
    <row r="48" spans="1:6" x14ac:dyDescent="0.35">
      <c r="A48" s="33" t="s">
        <v>279</v>
      </c>
      <c r="B48" s="34" t="s">
        <v>83</v>
      </c>
      <c r="C48" s="35" t="s">
        <v>84</v>
      </c>
      <c r="D48" s="36" t="s">
        <v>269</v>
      </c>
      <c r="E48" s="37" t="s">
        <v>86</v>
      </c>
      <c r="F48" s="62"/>
    </row>
    <row r="49" spans="1:6" x14ac:dyDescent="0.35">
      <c r="A49" s="164" t="s">
        <v>240</v>
      </c>
      <c r="B49" s="108">
        <v>1</v>
      </c>
      <c r="C49" s="108">
        <v>2</v>
      </c>
      <c r="D49" s="108">
        <f>IFERROR(VLOOKUP(A49,[1]!TablaTransporte[#Data],2,FALSE),0)</f>
        <v>550000</v>
      </c>
      <c r="E49" s="110">
        <f>B49*C49*D49</f>
        <v>1100000</v>
      </c>
      <c r="F49" s="283"/>
    </row>
    <row r="50" spans="1:6" x14ac:dyDescent="0.35">
      <c r="A50" s="164" t="s">
        <v>241</v>
      </c>
      <c r="B50" s="108">
        <v>1</v>
      </c>
      <c r="C50" s="108"/>
      <c r="D50" s="108">
        <f>IFERROR(VLOOKUP(A50,[1]!TablaTransporte[#Data],2,FALSE),0)</f>
        <v>65000</v>
      </c>
      <c r="E50" s="108">
        <f>B50*C50*D50</f>
        <v>0</v>
      </c>
      <c r="F50" s="284"/>
    </row>
    <row r="51" spans="1:6" x14ac:dyDescent="0.35">
      <c r="A51" s="164" t="s">
        <v>246</v>
      </c>
      <c r="B51" s="108">
        <v>1</v>
      </c>
      <c r="C51" s="108"/>
      <c r="D51" s="108">
        <f>IFERROR(VLOOKUP(A51,[1]!TablaTransporte[#Data],2,FALSE),0)</f>
        <v>322000</v>
      </c>
      <c r="E51" s="108">
        <f>B51*C51*D51</f>
        <v>0</v>
      </c>
      <c r="F51" s="284"/>
    </row>
    <row r="52" spans="1:6" x14ac:dyDescent="0.35">
      <c r="A52" s="164" t="s">
        <v>244</v>
      </c>
      <c r="B52" s="128">
        <v>1</v>
      </c>
      <c r="C52" s="128"/>
      <c r="D52" s="128">
        <f>IFERROR(VLOOKUP(A52,[1]!TablaTransporte[#Data],2,FALSE),0)</f>
        <v>190000</v>
      </c>
      <c r="E52" s="128">
        <f>C52*D52</f>
        <v>0</v>
      </c>
      <c r="F52" s="284"/>
    </row>
    <row r="53" spans="1:6" x14ac:dyDescent="0.35">
      <c r="A53" s="164" t="s">
        <v>245</v>
      </c>
      <c r="B53" s="128">
        <v>1</v>
      </c>
      <c r="C53" s="195">
        <v>0.05</v>
      </c>
      <c r="D53" s="108">
        <f>IFERROR(VLOOKUP(A53,[1]!TablaTransporte[#Data],2,FALSE),0)</f>
        <v>1350000</v>
      </c>
      <c r="E53" s="128">
        <f>C53*D53</f>
        <v>67500</v>
      </c>
      <c r="F53" s="284"/>
    </row>
    <row r="54" spans="1:6" x14ac:dyDescent="0.35">
      <c r="A54" s="164" t="s">
        <v>280</v>
      </c>
      <c r="B54" s="128"/>
      <c r="C54" s="128"/>
      <c r="D54" s="128">
        <f>IFERROR(VLOOKUP(A54,[1]!TablaTransporte[#Data],2,FALSE),0)</f>
        <v>1330000</v>
      </c>
      <c r="E54" s="128">
        <f>C54*D54</f>
        <v>0</v>
      </c>
      <c r="F54" s="284"/>
    </row>
    <row r="55" spans="1:6" x14ac:dyDescent="0.35">
      <c r="A55" s="164" t="s">
        <v>281</v>
      </c>
      <c r="B55" s="128">
        <v>1</v>
      </c>
      <c r="C55" s="128"/>
      <c r="D55" s="128">
        <f>IFERROR(VLOOKUP(A55,[1]!TablaTransporte[#Data],2,FALSE),0)</f>
        <v>840000</v>
      </c>
      <c r="E55" s="128">
        <f>B55*C55*D55</f>
        <v>0</v>
      </c>
      <c r="F55" s="284"/>
    </row>
    <row r="56" spans="1:6" x14ac:dyDescent="0.35">
      <c r="A56" s="130" t="s">
        <v>381</v>
      </c>
      <c r="B56" s="128">
        <v>1</v>
      </c>
      <c r="C56" s="128">
        <v>2</v>
      </c>
      <c r="D56" s="128">
        <f>IFERROR(VLOOKUP(A56,[1]!TablaTransporte[#Data],2,FALSE),0)</f>
        <v>600000</v>
      </c>
      <c r="E56" s="128">
        <f>B56*C56*D56</f>
        <v>1200000</v>
      </c>
      <c r="F56" s="284"/>
    </row>
    <row r="57" spans="1:6" x14ac:dyDescent="0.35">
      <c r="A57" s="130"/>
      <c r="B57" s="128"/>
      <c r="C57" s="128"/>
      <c r="D57" s="128">
        <f>IFERROR(VLOOKUP(A57,[1]!TablaTransporte[#Data],2,FALSE),0)</f>
        <v>0</v>
      </c>
      <c r="E57" s="128"/>
      <c r="F57" s="284"/>
    </row>
    <row r="58" spans="1:6" x14ac:dyDescent="0.35">
      <c r="A58" s="130"/>
      <c r="B58" s="128"/>
      <c r="C58" s="128"/>
      <c r="D58" s="128">
        <f>IFERROR(VLOOKUP(A58,[1]!TablaTransporte[#Data],2,FALSE),0)</f>
        <v>0</v>
      </c>
      <c r="E58" s="128"/>
      <c r="F58" s="284"/>
    </row>
    <row r="59" spans="1:6" x14ac:dyDescent="0.35">
      <c r="A59" s="130"/>
      <c r="B59" s="128"/>
      <c r="C59" s="128"/>
      <c r="D59" s="128">
        <f>IFERROR(VLOOKUP(A59,[1]!TablaTransporte[#Data],2,FALSE),0)</f>
        <v>0</v>
      </c>
      <c r="E59" s="128"/>
      <c r="F59" s="284"/>
    </row>
    <row r="60" spans="1:6" x14ac:dyDescent="0.35">
      <c r="A60" s="130"/>
      <c r="B60" s="128"/>
      <c r="C60" s="128"/>
      <c r="D60" s="128">
        <f>IFERROR(VLOOKUP(A60,[1]!TablaTransporte[#Data],2,FALSE),0)</f>
        <v>0</v>
      </c>
      <c r="E60" s="128"/>
      <c r="F60" s="285"/>
    </row>
    <row r="61" spans="1:6" x14ac:dyDescent="0.35">
      <c r="A61" s="319"/>
      <c r="B61" s="320"/>
      <c r="C61" s="320"/>
      <c r="D61" s="320"/>
      <c r="E61" s="321"/>
      <c r="F61" s="42">
        <f>SUM(E49:E60)</f>
        <v>2367500</v>
      </c>
    </row>
    <row r="62" spans="1:6" ht="15" thickBot="1" x14ac:dyDescent="0.4">
      <c r="A62" s="322"/>
      <c r="B62" s="292"/>
      <c r="C62" s="292"/>
      <c r="D62" s="292"/>
      <c r="E62" s="323"/>
      <c r="F62" s="42">
        <f>F28+F37+F47+F61</f>
        <v>18857215.890095197</v>
      </c>
    </row>
    <row r="63" spans="1:6" ht="15" thickBot="1" x14ac:dyDescent="0.4">
      <c r="A63" s="302"/>
      <c r="B63" s="300"/>
      <c r="C63" s="300"/>
      <c r="D63" s="300"/>
      <c r="E63" s="301"/>
      <c r="F63" s="44">
        <f>F62*A63</f>
        <v>0</v>
      </c>
    </row>
    <row r="64" spans="1:6" ht="15" thickBot="1" x14ac:dyDescent="0.4">
      <c r="A64" s="286"/>
      <c r="B64" s="286"/>
      <c r="C64" s="286"/>
      <c r="D64" s="286"/>
      <c r="E64" s="286"/>
      <c r="F64" s="28">
        <f>F62+F63</f>
        <v>18857215.890095197</v>
      </c>
    </row>
    <row r="65" spans="1:6" ht="15" thickBot="1" x14ac:dyDescent="0.4">
      <c r="A65" s="317"/>
      <c r="B65" s="306"/>
      <c r="C65" s="306"/>
      <c r="D65" s="306"/>
      <c r="E65" s="282"/>
      <c r="F65" s="28">
        <f>F64*A65</f>
        <v>0</v>
      </c>
    </row>
    <row r="66" spans="1:6" x14ac:dyDescent="0.35">
      <c r="F66" s="80">
        <f>F64+F65</f>
        <v>18857215.890095197</v>
      </c>
    </row>
    <row r="67" spans="1:6" x14ac:dyDescent="0.35">
      <c r="F67" s="176">
        <f>F66/F3</f>
        <v>3142869.315015866</v>
      </c>
    </row>
  </sheetData>
  <mergeCells count="11">
    <mergeCell ref="F38:F46"/>
    <mergeCell ref="A47:E47"/>
    <mergeCell ref="F49:F60"/>
    <mergeCell ref="A61:E61"/>
    <mergeCell ref="A1:F1"/>
    <mergeCell ref="A28:E28"/>
    <mergeCell ref="A62:E62"/>
    <mergeCell ref="A63:E63"/>
    <mergeCell ref="A64:E64"/>
    <mergeCell ref="A65:E65"/>
    <mergeCell ref="A37:E37"/>
  </mergeCells>
  <dataValidations count="3">
    <dataValidation type="list" allowBlank="1" showInputMessage="1" showErrorMessage="1" sqref="A50:A60" xr:uid="{CC4225DF-D679-4421-B2B7-0988B6726CE3}">
      <formula1>ListaTransporte</formula1>
    </dataValidation>
    <dataValidation type="list" allowBlank="1" showInputMessage="1" showErrorMessage="1" sqref="A30:A37" xr:uid="{14B4E5F5-4E3A-40CD-B078-B8C99BB23405}">
      <formula1>ListaMateriales</formula1>
    </dataValidation>
    <dataValidation type="list" allowBlank="1" showInputMessage="1" showErrorMessage="1" sqref="A3:A28" xr:uid="{D2C2074D-BBF7-4BA5-9A37-2D81A894F127}">
      <formula1>ListaEquipos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254B-897B-4DE2-8671-AA168873920B}">
  <sheetPr>
    <tabColor rgb="FFFF0000"/>
  </sheetPr>
  <dimension ref="A1:F105"/>
  <sheetViews>
    <sheetView topLeftCell="A91" workbookViewId="0">
      <selection activeCell="F105" sqref="F105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54296875" bestFit="1" customWidth="1"/>
    <col min="6" max="6" width="11.6328125" bestFit="1" customWidth="1"/>
  </cols>
  <sheetData>
    <row r="1" spans="1:6" x14ac:dyDescent="0.35">
      <c r="A1" s="306" t="s">
        <v>441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6</v>
      </c>
    </row>
    <row r="4" spans="1:6" x14ac:dyDescent="0.35">
      <c r="A4" s="24" t="s">
        <v>225</v>
      </c>
      <c r="B4" s="22">
        <v>1</v>
      </c>
      <c r="C4" s="23"/>
      <c r="D4" s="24">
        <v>0</v>
      </c>
      <c r="E4" s="25">
        <f t="shared" ref="E4:E28" si="0">B4*C4*D4</f>
        <v>0</v>
      </c>
      <c r="F4" s="310"/>
    </row>
    <row r="5" spans="1:6" ht="15.5" x14ac:dyDescent="0.35">
      <c r="A5" s="122" t="s">
        <v>300</v>
      </c>
      <c r="B5" s="22">
        <v>1</v>
      </c>
      <c r="C5" s="23"/>
      <c r="D5" s="24">
        <v>0</v>
      </c>
      <c r="E5" s="25">
        <f t="shared" si="0"/>
        <v>0</v>
      </c>
      <c r="F5" s="310"/>
    </row>
    <row r="6" spans="1:6" x14ac:dyDescent="0.35">
      <c r="A6" s="26" t="s">
        <v>226</v>
      </c>
      <c r="B6" s="22">
        <v>1</v>
      </c>
      <c r="C6" s="23"/>
      <c r="D6" s="24">
        <v>0</v>
      </c>
      <c r="E6" s="25">
        <f t="shared" si="0"/>
        <v>0</v>
      </c>
      <c r="F6" s="310"/>
    </row>
    <row r="7" spans="1:6" x14ac:dyDescent="0.35">
      <c r="A7" s="26" t="s">
        <v>227</v>
      </c>
      <c r="B7" s="22">
        <v>2</v>
      </c>
      <c r="C7" s="23">
        <v>2</v>
      </c>
      <c r="D7" s="24">
        <v>0</v>
      </c>
      <c r="E7" s="25">
        <f t="shared" si="0"/>
        <v>0</v>
      </c>
      <c r="F7" s="310"/>
    </row>
    <row r="8" spans="1:6" x14ac:dyDescent="0.35">
      <c r="A8" s="26" t="s">
        <v>251</v>
      </c>
      <c r="B8" s="22">
        <v>8</v>
      </c>
      <c r="C8" s="23"/>
      <c r="D8" s="24">
        <v>0</v>
      </c>
      <c r="E8" s="25">
        <f t="shared" si="0"/>
        <v>0</v>
      </c>
      <c r="F8" s="310"/>
    </row>
    <row r="9" spans="1:6" x14ac:dyDescent="0.35">
      <c r="A9" s="26" t="s">
        <v>252</v>
      </c>
      <c r="B9" s="22">
        <v>8</v>
      </c>
      <c r="C9" s="23">
        <v>2</v>
      </c>
      <c r="D9" s="24">
        <v>0</v>
      </c>
      <c r="E9" s="25">
        <f t="shared" si="0"/>
        <v>0</v>
      </c>
      <c r="F9" s="310"/>
    </row>
    <row r="10" spans="1:6" x14ac:dyDescent="0.35">
      <c r="A10" s="26" t="s">
        <v>231</v>
      </c>
      <c r="B10" s="22">
        <v>4</v>
      </c>
      <c r="C10" s="23"/>
      <c r="D10" s="24">
        <v>0</v>
      </c>
      <c r="E10" s="25">
        <f t="shared" si="0"/>
        <v>0</v>
      </c>
      <c r="F10" s="310"/>
    </row>
    <row r="11" spans="1:6" x14ac:dyDescent="0.35">
      <c r="A11" s="24" t="s">
        <v>228</v>
      </c>
      <c r="B11" s="22">
        <v>1</v>
      </c>
      <c r="C11" s="23"/>
      <c r="D11" s="24">
        <v>0</v>
      </c>
      <c r="E11" s="25">
        <f t="shared" si="0"/>
        <v>0</v>
      </c>
      <c r="F11" s="310"/>
    </row>
    <row r="12" spans="1:6" x14ac:dyDescent="0.35">
      <c r="A12" s="24" t="s">
        <v>224</v>
      </c>
      <c r="B12" s="22">
        <v>1</v>
      </c>
      <c r="C12" s="23">
        <v>2</v>
      </c>
      <c r="D12" s="24">
        <v>0</v>
      </c>
      <c r="E12" s="25">
        <f t="shared" si="0"/>
        <v>0</v>
      </c>
      <c r="F12" s="310"/>
    </row>
    <row r="13" spans="1:6" x14ac:dyDescent="0.35">
      <c r="A13" s="26" t="s">
        <v>230</v>
      </c>
      <c r="B13" s="22">
        <v>1</v>
      </c>
      <c r="C13" s="23"/>
      <c r="D13" s="24">
        <v>0</v>
      </c>
      <c r="E13" s="25">
        <f t="shared" si="0"/>
        <v>0</v>
      </c>
      <c r="F13" s="310"/>
    </row>
    <row r="14" spans="1:6" x14ac:dyDescent="0.35">
      <c r="A14" s="81" t="s">
        <v>232</v>
      </c>
      <c r="B14" s="82"/>
      <c r="C14" s="32"/>
      <c r="D14" s="24">
        <v>0</v>
      </c>
      <c r="E14" s="25">
        <f t="shared" si="0"/>
        <v>0</v>
      </c>
      <c r="F14" s="310"/>
    </row>
    <row r="15" spans="1:6" x14ac:dyDescent="0.35">
      <c r="A15" s="24" t="s">
        <v>233</v>
      </c>
      <c r="B15" s="22"/>
      <c r="C15" s="23"/>
      <c r="D15" s="24">
        <v>0</v>
      </c>
      <c r="E15" s="25">
        <f t="shared" si="0"/>
        <v>0</v>
      </c>
      <c r="F15" s="310"/>
    </row>
    <row r="16" spans="1:6" x14ac:dyDescent="0.35">
      <c r="A16" s="24" t="s">
        <v>234</v>
      </c>
      <c r="B16" s="22"/>
      <c r="C16" s="23"/>
      <c r="D16" s="24">
        <v>0</v>
      </c>
      <c r="E16" s="25">
        <f t="shared" si="0"/>
        <v>0</v>
      </c>
      <c r="F16" s="310"/>
    </row>
    <row r="17" spans="1:6" x14ac:dyDescent="0.35">
      <c r="A17" s="24" t="s">
        <v>235</v>
      </c>
      <c r="B17" s="22"/>
      <c r="C17" s="23"/>
      <c r="D17" s="24">
        <v>0</v>
      </c>
      <c r="E17" s="25">
        <f t="shared" si="0"/>
        <v>0</v>
      </c>
      <c r="F17" s="310"/>
    </row>
    <row r="18" spans="1:6" x14ac:dyDescent="0.35">
      <c r="A18" s="24" t="s">
        <v>236</v>
      </c>
      <c r="B18" s="22"/>
      <c r="C18" s="23"/>
      <c r="D18" s="24">
        <v>0</v>
      </c>
      <c r="E18" s="25">
        <f t="shared" si="0"/>
        <v>0</v>
      </c>
      <c r="F18" s="310"/>
    </row>
    <row r="19" spans="1:6" x14ac:dyDescent="0.35">
      <c r="A19" s="24" t="s">
        <v>237</v>
      </c>
      <c r="B19" s="22"/>
      <c r="C19" s="23"/>
      <c r="D19" s="24">
        <v>0</v>
      </c>
      <c r="E19" s="25">
        <f t="shared" si="0"/>
        <v>0</v>
      </c>
      <c r="F19" s="310"/>
    </row>
    <row r="20" spans="1:6" x14ac:dyDescent="0.35">
      <c r="A20" s="24" t="s">
        <v>229</v>
      </c>
      <c r="B20" s="22">
        <v>6</v>
      </c>
      <c r="C20" s="23">
        <v>2</v>
      </c>
      <c r="D20" s="24">
        <v>0</v>
      </c>
      <c r="E20" s="25">
        <f t="shared" si="0"/>
        <v>0</v>
      </c>
      <c r="F20" s="310"/>
    </row>
    <row r="21" spans="1:6" ht="23" x14ac:dyDescent="0.35">
      <c r="A21" s="26" t="s">
        <v>247</v>
      </c>
      <c r="B21" s="22"/>
      <c r="C21" s="23"/>
      <c r="D21" s="24">
        <v>0</v>
      </c>
      <c r="E21" s="25">
        <f t="shared" si="0"/>
        <v>0</v>
      </c>
      <c r="F21" s="310"/>
    </row>
    <row r="22" spans="1:6" ht="15.5" x14ac:dyDescent="0.35">
      <c r="A22" s="105" t="s">
        <v>248</v>
      </c>
      <c r="B22" s="22">
        <v>1</v>
      </c>
      <c r="C22" s="23">
        <v>1</v>
      </c>
      <c r="D22" s="24">
        <v>0</v>
      </c>
      <c r="E22" s="25">
        <f t="shared" si="0"/>
        <v>0</v>
      </c>
      <c r="F22" s="310"/>
    </row>
    <row r="23" spans="1:6" ht="31" x14ac:dyDescent="0.35">
      <c r="A23" s="104" t="s">
        <v>249</v>
      </c>
      <c r="B23" s="22">
        <v>1</v>
      </c>
      <c r="C23" s="23"/>
      <c r="D23" s="24">
        <v>0</v>
      </c>
      <c r="E23" s="25">
        <f t="shared" si="0"/>
        <v>0</v>
      </c>
      <c r="F23" s="310"/>
    </row>
    <row r="24" spans="1:6" ht="31" x14ac:dyDescent="0.35">
      <c r="A24" s="104" t="s">
        <v>250</v>
      </c>
      <c r="B24" s="22">
        <v>1</v>
      </c>
      <c r="C24" s="23"/>
      <c r="D24" s="24">
        <v>0</v>
      </c>
      <c r="E24" s="25">
        <f t="shared" si="0"/>
        <v>0</v>
      </c>
      <c r="F24" s="310"/>
    </row>
    <row r="25" spans="1:6" ht="15.5" x14ac:dyDescent="0.35">
      <c r="A25" s="122" t="s">
        <v>301</v>
      </c>
      <c r="B25" s="22">
        <v>2</v>
      </c>
      <c r="C25" s="23"/>
      <c r="D25" s="24">
        <v>0</v>
      </c>
      <c r="E25" s="25">
        <f t="shared" si="0"/>
        <v>0</v>
      </c>
      <c r="F25" s="310"/>
    </row>
    <row r="26" spans="1:6" ht="15.5" x14ac:dyDescent="0.35">
      <c r="A26" s="122" t="s">
        <v>347</v>
      </c>
      <c r="B26" s="123">
        <v>2</v>
      </c>
      <c r="C26" s="123"/>
      <c r="D26" s="24">
        <v>0</v>
      </c>
      <c r="E26" s="123">
        <f t="shared" si="0"/>
        <v>0</v>
      </c>
      <c r="F26" s="310"/>
    </row>
    <row r="27" spans="1:6" ht="15.5" x14ac:dyDescent="0.35">
      <c r="A27" s="122" t="s">
        <v>348</v>
      </c>
      <c r="B27" s="123">
        <v>12</v>
      </c>
      <c r="C27" s="123">
        <v>2</v>
      </c>
      <c r="D27" s="24">
        <v>0</v>
      </c>
      <c r="E27" s="123">
        <f t="shared" si="0"/>
        <v>0</v>
      </c>
      <c r="F27" s="310"/>
    </row>
    <row r="28" spans="1:6" ht="15.5" x14ac:dyDescent="0.35">
      <c r="A28" s="122" t="s">
        <v>242</v>
      </c>
      <c r="B28" s="123">
        <v>10</v>
      </c>
      <c r="C28" s="123">
        <v>2</v>
      </c>
      <c r="D28" s="24">
        <v>3000</v>
      </c>
      <c r="E28" s="123">
        <f t="shared" si="0"/>
        <v>60000</v>
      </c>
      <c r="F28" s="310"/>
    </row>
    <row r="29" spans="1:6" ht="15.5" x14ac:dyDescent="0.35">
      <c r="A29" s="133" t="s">
        <v>316</v>
      </c>
      <c r="B29" s="123"/>
      <c r="C29" s="123"/>
      <c r="D29" s="24"/>
      <c r="E29" s="123"/>
      <c r="F29" s="310"/>
    </row>
    <row r="30" spans="1:6" ht="15.5" x14ac:dyDescent="0.35">
      <c r="A30" s="133" t="s">
        <v>317</v>
      </c>
      <c r="B30" s="123"/>
      <c r="C30" s="123"/>
      <c r="D30" s="24"/>
      <c r="E30" s="123"/>
      <c r="F30" s="310"/>
    </row>
    <row r="31" spans="1:6" ht="15.5" x14ac:dyDescent="0.35">
      <c r="A31" s="122" t="s">
        <v>318</v>
      </c>
      <c r="B31" s="123"/>
      <c r="C31" s="123"/>
      <c r="D31" s="24"/>
      <c r="E31" s="123"/>
      <c r="F31" s="310"/>
    </row>
    <row r="32" spans="1:6" ht="15.5" x14ac:dyDescent="0.35">
      <c r="A32" s="122"/>
      <c r="B32" s="123"/>
      <c r="C32" s="123"/>
      <c r="D32" s="24"/>
      <c r="E32" s="123"/>
      <c r="F32" s="310"/>
    </row>
    <row r="33" spans="1:6" ht="15.5" x14ac:dyDescent="0.35">
      <c r="A33" s="122"/>
      <c r="B33" s="123"/>
      <c r="C33" s="123"/>
      <c r="D33" s="24"/>
      <c r="E33" s="123"/>
      <c r="F33" s="310"/>
    </row>
    <row r="34" spans="1:6" ht="15.5" x14ac:dyDescent="0.35">
      <c r="A34" s="122"/>
      <c r="B34" s="123"/>
      <c r="C34" s="123"/>
      <c r="D34" s="24"/>
      <c r="E34" s="123"/>
      <c r="F34" s="310"/>
    </row>
    <row r="35" spans="1:6" ht="15.5" x14ac:dyDescent="0.35">
      <c r="A35" s="122"/>
      <c r="B35" s="123"/>
      <c r="C35" s="123"/>
      <c r="D35" s="24"/>
      <c r="E35" s="123"/>
      <c r="F35" s="310"/>
    </row>
    <row r="36" spans="1:6" ht="15.5" x14ac:dyDescent="0.35">
      <c r="A36" s="122"/>
      <c r="B36" s="123"/>
      <c r="C36" s="123"/>
      <c r="D36" s="24"/>
      <c r="E36" s="123"/>
      <c r="F36" s="310"/>
    </row>
    <row r="37" spans="1:6" ht="15.5" x14ac:dyDescent="0.35">
      <c r="A37" s="122"/>
      <c r="B37" s="123"/>
      <c r="C37" s="123"/>
      <c r="D37" s="24"/>
      <c r="E37" s="123"/>
      <c r="F37" s="310"/>
    </row>
    <row r="38" spans="1:6" ht="15" thickBot="1" x14ac:dyDescent="0.4">
      <c r="A38" s="294"/>
      <c r="B38" s="295"/>
      <c r="C38" s="295"/>
      <c r="D38" s="295"/>
      <c r="E38" s="295"/>
      <c r="F38" s="84">
        <f>SUM(E4:E37)</f>
        <v>60000</v>
      </c>
    </row>
    <row r="39" spans="1:6" x14ac:dyDescent="0.35">
      <c r="A39" s="33" t="s">
        <v>270</v>
      </c>
      <c r="B39" s="34" t="s">
        <v>83</v>
      </c>
      <c r="C39" s="45" t="s">
        <v>84</v>
      </c>
      <c r="D39" s="46" t="s">
        <v>269</v>
      </c>
      <c r="E39" s="37" t="s">
        <v>86</v>
      </c>
      <c r="F39" s="324"/>
    </row>
    <row r="40" spans="1:6" x14ac:dyDescent="0.35">
      <c r="A40" s="26" t="s">
        <v>253</v>
      </c>
      <c r="B40" s="22"/>
      <c r="C40" s="29"/>
      <c r="D40" s="27">
        <f>IFERROR(VLOOKUP(A40,[1]!TablaMateriales[#Data],2,FALSE),0)</f>
        <v>35000</v>
      </c>
      <c r="E40" s="25">
        <f>B40*D40</f>
        <v>0</v>
      </c>
      <c r="F40" s="325"/>
    </row>
    <row r="41" spans="1:6" x14ac:dyDescent="0.35">
      <c r="A41" s="30" t="s">
        <v>254</v>
      </c>
      <c r="B41" s="22"/>
      <c r="C41" s="29"/>
      <c r="D41" s="27">
        <f>IFERROR(VLOOKUP(A41,[1]!TablaMateriales[#Data],2,FALSE),0)</f>
        <v>20000</v>
      </c>
      <c r="E41" s="25">
        <f>B41*D41</f>
        <v>0</v>
      </c>
      <c r="F41" s="325"/>
    </row>
    <row r="42" spans="1:6" x14ac:dyDescent="0.35">
      <c r="A42" s="30" t="s">
        <v>255</v>
      </c>
      <c r="B42" s="22"/>
      <c r="C42" s="29"/>
      <c r="D42" s="27">
        <f>IFERROR(VLOOKUP(A42,[1]!TablaMateriales[#Data],2,FALSE),0)</f>
        <v>50000</v>
      </c>
      <c r="E42" s="25">
        <f>B42*D42</f>
        <v>0</v>
      </c>
      <c r="F42" s="325"/>
    </row>
    <row r="43" spans="1:6" x14ac:dyDescent="0.35">
      <c r="A43" s="30" t="s">
        <v>256</v>
      </c>
      <c r="B43" s="22"/>
      <c r="C43" s="29"/>
      <c r="D43" s="27">
        <f>IFERROR(VLOOKUP(A43,[1]!TablaMateriales[#Data],2,FALSE),0)</f>
        <v>0</v>
      </c>
      <c r="E43" s="25">
        <f>B43*D43</f>
        <v>0</v>
      </c>
      <c r="F43" s="325"/>
    </row>
    <row r="44" spans="1:6" x14ac:dyDescent="0.35">
      <c r="A44" s="30" t="s">
        <v>257</v>
      </c>
      <c r="B44" s="78"/>
      <c r="C44" s="23"/>
      <c r="D44" s="27">
        <f>IFERROR(VLOOKUP(A44,[1]!TablaMateriales[#Data],2,FALSE),0)</f>
        <v>9500</v>
      </c>
      <c r="E44" s="25">
        <f>B44*D44</f>
        <v>0</v>
      </c>
      <c r="F44" s="325"/>
    </row>
    <row r="45" spans="1:6" x14ac:dyDescent="0.35">
      <c r="A45" s="30" t="s">
        <v>258</v>
      </c>
      <c r="B45" s="78"/>
      <c r="C45" s="23"/>
      <c r="D45" s="27">
        <f>IFERROR(VLOOKUP(A45,[1]!TablaMateriales[#Data],2,FALSE),0)</f>
        <v>9500</v>
      </c>
      <c r="E45" s="25">
        <f t="shared" ref="E45:E61" si="1">B45*D45</f>
        <v>0</v>
      </c>
      <c r="F45" s="325"/>
    </row>
    <row r="46" spans="1:6" x14ac:dyDescent="0.35">
      <c r="A46" s="30" t="s">
        <v>259</v>
      </c>
      <c r="B46" s="78"/>
      <c r="C46" s="23"/>
      <c r="D46" s="27">
        <f>IFERROR(VLOOKUP(A46,[1]!TablaMateriales[#Data],2,FALSE),0)</f>
        <v>15000</v>
      </c>
      <c r="E46" s="25">
        <f t="shared" si="1"/>
        <v>0</v>
      </c>
      <c r="F46" s="325"/>
    </row>
    <row r="47" spans="1:6" x14ac:dyDescent="0.35">
      <c r="A47" s="30" t="s">
        <v>260</v>
      </c>
      <c r="B47" s="78"/>
      <c r="C47" s="23"/>
      <c r="D47" s="27">
        <f>IFERROR(VLOOKUP(A47,[1]!TablaMateriales[#Data],2,FALSE),0)</f>
        <v>20000</v>
      </c>
      <c r="E47" s="25">
        <f t="shared" si="1"/>
        <v>0</v>
      </c>
      <c r="F47" s="325"/>
    </row>
    <row r="48" spans="1:6" ht="23" x14ac:dyDescent="0.35">
      <c r="A48" s="79" t="s">
        <v>261</v>
      </c>
      <c r="B48" s="85">
        <v>1</v>
      </c>
      <c r="C48" s="23"/>
      <c r="D48" s="27">
        <f>IFERROR(VLOOKUP(A48,[1]!TablaMateriales[#Data],2,FALSE),0)</f>
        <v>55000</v>
      </c>
      <c r="E48" s="25">
        <f t="shared" si="1"/>
        <v>55000</v>
      </c>
      <c r="F48" s="325"/>
    </row>
    <row r="49" spans="1:6" x14ac:dyDescent="0.35">
      <c r="A49" s="30" t="s">
        <v>262</v>
      </c>
      <c r="B49" s="78"/>
      <c r="C49" s="23"/>
      <c r="D49" s="27">
        <f>IFERROR(VLOOKUP(A49,[1]!TablaMateriales[#Data],2,FALSE),0)</f>
        <v>15900</v>
      </c>
      <c r="E49" s="25">
        <f t="shared" si="1"/>
        <v>0</v>
      </c>
      <c r="F49" s="325"/>
    </row>
    <row r="50" spans="1:6" x14ac:dyDescent="0.35">
      <c r="A50" s="31" t="s">
        <v>263</v>
      </c>
      <c r="B50" s="78"/>
      <c r="C50" s="23"/>
      <c r="D50" s="27">
        <f>IFERROR(VLOOKUP(A50,[1]!TablaMateriales[#Data],2,FALSE),0)</f>
        <v>14000</v>
      </c>
      <c r="E50" s="25">
        <f t="shared" si="1"/>
        <v>0</v>
      </c>
      <c r="F50" s="325"/>
    </row>
    <row r="51" spans="1:6" x14ac:dyDescent="0.35">
      <c r="A51" s="31" t="s">
        <v>264</v>
      </c>
      <c r="B51" s="78"/>
      <c r="C51" s="23"/>
      <c r="D51" s="27">
        <f>IFERROR(VLOOKUP(A51,[1]!TablaMateriales[#Data],2,FALSE),0)</f>
        <v>3800</v>
      </c>
      <c r="E51" s="27">
        <f t="shared" si="1"/>
        <v>0</v>
      </c>
      <c r="F51" s="325"/>
    </row>
    <row r="52" spans="1:6" x14ac:dyDescent="0.35">
      <c r="A52" s="31" t="s">
        <v>265</v>
      </c>
      <c r="B52" s="78"/>
      <c r="C52" s="23"/>
      <c r="D52" s="27">
        <f>IFERROR(VLOOKUP(A52,[1]!TablaMateriales[#Data],2,FALSE),0)</f>
        <v>65000</v>
      </c>
      <c r="E52" s="27">
        <f t="shared" si="1"/>
        <v>0</v>
      </c>
      <c r="F52" s="325"/>
    </row>
    <row r="53" spans="1:6" x14ac:dyDescent="0.35">
      <c r="A53" s="31" t="s">
        <v>266</v>
      </c>
      <c r="B53" s="78"/>
      <c r="C53" s="23"/>
      <c r="D53" s="27">
        <f>IFERROR(VLOOKUP(A53,[1]!TablaMateriales[#Data],2,FALSE),0)</f>
        <v>65000</v>
      </c>
      <c r="E53" s="27">
        <f t="shared" si="1"/>
        <v>0</v>
      </c>
      <c r="F53" s="325"/>
    </row>
    <row r="54" spans="1:6" x14ac:dyDescent="0.35">
      <c r="A54" s="31" t="s">
        <v>267</v>
      </c>
      <c r="B54" s="78"/>
      <c r="C54" s="23"/>
      <c r="D54" s="27">
        <f>IFERROR(VLOOKUP(A54,[1]!TablaMateriales[#Data],2,FALSE),0)</f>
        <v>65000</v>
      </c>
      <c r="E54" s="27">
        <f t="shared" si="1"/>
        <v>0</v>
      </c>
      <c r="F54" s="325"/>
    </row>
    <row r="55" spans="1:6" x14ac:dyDescent="0.35">
      <c r="A55" s="196" t="s">
        <v>243</v>
      </c>
      <c r="B55" s="78">
        <v>10</v>
      </c>
      <c r="C55" s="23"/>
      <c r="D55" s="27">
        <f>IFERROR(VLOOKUP(A55,[1]!TablaMateriales[#Data],2,FALSE),0)</f>
        <v>9500</v>
      </c>
      <c r="E55" s="27">
        <f t="shared" si="1"/>
        <v>95000</v>
      </c>
      <c r="F55" s="325"/>
    </row>
    <row r="56" spans="1:6" x14ac:dyDescent="0.35">
      <c r="A56" s="197" t="s">
        <v>353</v>
      </c>
      <c r="B56" s="113"/>
      <c r="C56" s="32"/>
      <c r="D56" s="114">
        <f>IFERROR(VLOOKUP(A56,[1]!TablaMateriales[#Data],2,FALSE),0)</f>
        <v>0</v>
      </c>
      <c r="E56" s="114">
        <f t="shared" si="1"/>
        <v>0</v>
      </c>
      <c r="F56" s="325"/>
    </row>
    <row r="57" spans="1:6" ht="15.5" x14ac:dyDescent="0.35">
      <c r="A57" s="198" t="s">
        <v>361</v>
      </c>
      <c r="B57" s="78"/>
      <c r="C57" s="23"/>
      <c r="D57" s="27">
        <f>IFERROR(VLOOKUP(A57,[1]!TablaMateriales[#Data],2,FALSE),0)</f>
        <v>0</v>
      </c>
      <c r="E57" s="27">
        <f t="shared" si="1"/>
        <v>0</v>
      </c>
      <c r="F57" s="325"/>
    </row>
    <row r="58" spans="1:6" ht="15.5" x14ac:dyDescent="0.35">
      <c r="A58" s="198" t="s">
        <v>363</v>
      </c>
      <c r="B58" s="78"/>
      <c r="C58" s="23"/>
      <c r="D58" s="114">
        <f>IFERROR(VLOOKUP(A58,[1]!TablaMateriales[#Data],2,FALSE),0)</f>
        <v>0</v>
      </c>
      <c r="E58" s="27">
        <f t="shared" si="1"/>
        <v>0</v>
      </c>
      <c r="F58" s="325"/>
    </row>
    <row r="59" spans="1:6" ht="15.5" x14ac:dyDescent="0.35">
      <c r="A59" s="199" t="s">
        <v>364</v>
      </c>
      <c r="B59" s="78"/>
      <c r="C59" s="23"/>
      <c r="D59" s="27">
        <f>IFERROR(VLOOKUP(A59,[1]!TablaMateriales[#Data],2,FALSE),0)</f>
        <v>0</v>
      </c>
      <c r="E59" s="27">
        <f t="shared" si="1"/>
        <v>0</v>
      </c>
      <c r="F59" s="325"/>
    </row>
    <row r="60" spans="1:6" ht="15.5" x14ac:dyDescent="0.35">
      <c r="A60" s="198" t="s">
        <v>365</v>
      </c>
      <c r="B60" s="78"/>
      <c r="C60" s="23"/>
      <c r="D60" s="27">
        <f>IFERROR(VLOOKUP(A60,[1]!TablaMateriales[#Data],2,FALSE),0)</f>
        <v>0</v>
      </c>
      <c r="E60" s="27">
        <f t="shared" si="1"/>
        <v>0</v>
      </c>
      <c r="F60" s="325"/>
    </row>
    <row r="61" spans="1:6" ht="15.5" x14ac:dyDescent="0.35">
      <c r="A61" s="198" t="s">
        <v>366</v>
      </c>
      <c r="B61" s="78"/>
      <c r="C61" s="23"/>
      <c r="D61" s="114">
        <f>IFERROR(VLOOKUP(A61,[1]!TablaMateriales[#Data],2,FALSE),0)</f>
        <v>0</v>
      </c>
      <c r="E61" s="27">
        <f t="shared" si="1"/>
        <v>0</v>
      </c>
      <c r="F61" s="325"/>
    </row>
    <row r="62" spans="1:6" ht="15.5" x14ac:dyDescent="0.35">
      <c r="A62" s="198" t="s">
        <v>367</v>
      </c>
      <c r="B62" s="78"/>
      <c r="C62" s="23"/>
      <c r="D62" s="114">
        <f>IFERROR(VLOOKUP(A62,[1]!TablaMateriales[#Data],2,FALSE),0)</f>
        <v>0</v>
      </c>
      <c r="E62" s="27"/>
      <c r="F62" s="325"/>
    </row>
    <row r="63" spans="1:6" ht="15.5" x14ac:dyDescent="0.35">
      <c r="A63" s="198" t="s">
        <v>368</v>
      </c>
      <c r="B63" s="78">
        <v>300</v>
      </c>
      <c r="C63" s="23"/>
      <c r="D63" s="27">
        <f>IFERROR(VLOOKUP(A63,[1]!TablaMateriales[#Data],2,FALSE),0)</f>
        <v>0</v>
      </c>
      <c r="E63" s="27">
        <f>B63*D63</f>
        <v>0</v>
      </c>
      <c r="F63" s="325"/>
    </row>
    <row r="64" spans="1:6" ht="15.5" x14ac:dyDescent="0.35">
      <c r="A64" s="198" t="s">
        <v>442</v>
      </c>
      <c r="B64" s="78">
        <v>336</v>
      </c>
      <c r="C64" s="23"/>
      <c r="D64" s="114">
        <f>IFERROR(VLOOKUP(A64,[1]!TablaMateriales[#Data],2,FALSE),0)</f>
        <v>1800</v>
      </c>
      <c r="E64" s="27">
        <f>B64*D64</f>
        <v>604800</v>
      </c>
      <c r="F64" s="325"/>
    </row>
    <row r="65" spans="1:6" x14ac:dyDescent="0.35">
      <c r="A65" s="193" t="s">
        <v>367</v>
      </c>
      <c r="B65" s="78">
        <v>4</v>
      </c>
      <c r="C65" s="23"/>
      <c r="D65" s="114">
        <f>IFERROR(VLOOKUP(A65,[1]!TablaMateriales[#Data],2,FALSE),0)</f>
        <v>0</v>
      </c>
      <c r="E65" s="27">
        <f>B65*D65</f>
        <v>0</v>
      </c>
      <c r="F65" s="325"/>
    </row>
    <row r="66" spans="1:6" ht="15.5" x14ac:dyDescent="0.35">
      <c r="A66" s="198" t="s">
        <v>370</v>
      </c>
      <c r="B66" s="78">
        <v>4</v>
      </c>
      <c r="C66" s="23"/>
      <c r="D66" s="27">
        <f>IFERROR(VLOOKUP(A66,[1]!TablaMateriales[#Data],2,FALSE),0)</f>
        <v>0</v>
      </c>
      <c r="E66" s="27">
        <f>B66*D66</f>
        <v>0</v>
      </c>
      <c r="F66" s="325"/>
    </row>
    <row r="67" spans="1:6" ht="15.5" x14ac:dyDescent="0.35">
      <c r="A67" s="112" t="s">
        <v>371</v>
      </c>
      <c r="B67" s="113">
        <v>2.6</v>
      </c>
      <c r="C67" s="32"/>
      <c r="D67" s="114">
        <f>IFERROR(VLOOKUP(A67,[1]!TablaMateriales[#Data],2,FALSE),0)</f>
        <v>0</v>
      </c>
      <c r="E67" s="114">
        <f>B67*D67</f>
        <v>0</v>
      </c>
      <c r="F67" s="325"/>
    </row>
    <row r="68" spans="1:6" ht="15.5" x14ac:dyDescent="0.35">
      <c r="A68" s="115"/>
      <c r="B68" s="78"/>
      <c r="C68" s="23"/>
      <c r="D68" s="27">
        <f>IFERROR(VLOOKUP(A68,[1]!TablaMateriales[#Data],2,FALSE),0)</f>
        <v>0</v>
      </c>
      <c r="E68" s="27"/>
      <c r="F68" s="325"/>
    </row>
    <row r="69" spans="1:6" ht="15.5" x14ac:dyDescent="0.35">
      <c r="A69" s="115"/>
      <c r="B69" s="78"/>
      <c r="C69" s="23"/>
      <c r="D69" s="27">
        <f>IFERROR(VLOOKUP(A69,[1]!TablaMateriales[#Data],2,FALSE),0)</f>
        <v>0</v>
      </c>
      <c r="E69" s="27"/>
      <c r="F69" s="325"/>
    </row>
    <row r="70" spans="1:6" ht="15.5" x14ac:dyDescent="0.35">
      <c r="A70" s="115"/>
      <c r="B70" s="78"/>
      <c r="C70" s="23"/>
      <c r="D70" s="27">
        <f>IFERROR(VLOOKUP(A70,[1]!TablaMateriales[#Data],2,FALSE),0)</f>
        <v>0</v>
      </c>
      <c r="E70" s="27"/>
      <c r="F70" s="325"/>
    </row>
    <row r="71" spans="1:6" ht="15.5" x14ac:dyDescent="0.35">
      <c r="A71" s="115"/>
      <c r="B71" s="78"/>
      <c r="C71" s="23"/>
      <c r="D71" s="27">
        <f>IFERROR(VLOOKUP(A71,[1]!TablaMateriales[#Data],2,FALSE),0)</f>
        <v>0</v>
      </c>
      <c r="E71" s="27"/>
      <c r="F71" s="325"/>
    </row>
    <row r="72" spans="1:6" ht="15.5" x14ac:dyDescent="0.35">
      <c r="A72" s="115"/>
      <c r="B72" s="78"/>
      <c r="C72" s="23"/>
      <c r="D72" s="27">
        <f>IFERROR(VLOOKUP(A72,[1]!TablaMateriales[#Data],2,FALSE),0)</f>
        <v>0</v>
      </c>
      <c r="E72" s="27"/>
      <c r="F72" s="325"/>
    </row>
    <row r="73" spans="1:6" ht="15.5" x14ac:dyDescent="0.35">
      <c r="A73" s="115"/>
      <c r="B73" s="78"/>
      <c r="C73" s="23"/>
      <c r="D73" s="27">
        <f>IFERROR(VLOOKUP(A73,[1]!TablaMateriales[#Data],2,FALSE),0)</f>
        <v>0</v>
      </c>
      <c r="E73" s="27"/>
      <c r="F73" s="325"/>
    </row>
    <row r="74" spans="1:6" ht="16" thickBot="1" x14ac:dyDescent="0.4">
      <c r="A74" s="115"/>
      <c r="B74" s="78"/>
      <c r="C74" s="23"/>
      <c r="D74" s="27">
        <f>IFERROR(VLOOKUP(A74,[1]!TablaMateriales[#Data],2,FALSE),0)</f>
        <v>0</v>
      </c>
      <c r="E74" s="27"/>
      <c r="F74" s="326"/>
    </row>
    <row r="75" spans="1:6" x14ac:dyDescent="0.35">
      <c r="A75" s="314"/>
      <c r="B75" s="314"/>
      <c r="C75" s="314"/>
      <c r="D75" s="314"/>
      <c r="E75" s="314"/>
      <c r="F75" s="116">
        <f>SUM(E40:E74)</f>
        <v>754800</v>
      </c>
    </row>
    <row r="76" spans="1:6" x14ac:dyDescent="0.35">
      <c r="A76" s="33" t="s">
        <v>88</v>
      </c>
      <c r="B76" s="34" t="s">
        <v>83</v>
      </c>
      <c r="C76" s="35" t="s">
        <v>84</v>
      </c>
      <c r="D76" s="36" t="s">
        <v>89</v>
      </c>
      <c r="E76" s="37" t="s">
        <v>86</v>
      </c>
      <c r="F76" s="315"/>
    </row>
    <row r="77" spans="1:6" x14ac:dyDescent="0.35">
      <c r="A77" s="38" t="s">
        <v>272</v>
      </c>
      <c r="B77" s="34">
        <v>1</v>
      </c>
      <c r="C77" s="35">
        <v>1</v>
      </c>
      <c r="D77" s="39">
        <v>434781.13826000009</v>
      </c>
      <c r="E77" s="37">
        <f>B77*C77*D77</f>
        <v>434781.13826000009</v>
      </c>
      <c r="F77" s="316"/>
    </row>
    <row r="78" spans="1:6" x14ac:dyDescent="0.35">
      <c r="A78" s="107" t="s">
        <v>273</v>
      </c>
      <c r="B78" s="20">
        <v>1</v>
      </c>
      <c r="C78" s="40">
        <v>1</v>
      </c>
      <c r="D78" s="39">
        <v>434781.13826000009</v>
      </c>
      <c r="E78" s="21">
        <f t="shared" ref="E78:E84" si="2">B78*C78*D78</f>
        <v>434781.13826000009</v>
      </c>
      <c r="F78" s="316"/>
    </row>
    <row r="79" spans="1:6" x14ac:dyDescent="0.35">
      <c r="A79" s="107" t="s">
        <v>277</v>
      </c>
      <c r="B79" s="20">
        <v>1</v>
      </c>
      <c r="C79" s="35"/>
      <c r="D79" s="39">
        <v>434781.13826000009</v>
      </c>
      <c r="E79" s="21">
        <f>B79*C79*D79</f>
        <v>0</v>
      </c>
      <c r="F79" s="316"/>
    </row>
    <row r="80" spans="1:6" x14ac:dyDescent="0.35">
      <c r="A80" s="107" t="s">
        <v>278</v>
      </c>
      <c r="B80" s="20">
        <v>1.5</v>
      </c>
      <c r="C80" s="35"/>
      <c r="D80" s="39">
        <v>383405.20943333331</v>
      </c>
      <c r="E80" s="21">
        <f>B80*C80*D80</f>
        <v>0</v>
      </c>
      <c r="F80" s="316"/>
    </row>
    <row r="81" spans="1:6" x14ac:dyDescent="0.35">
      <c r="A81" s="107" t="s">
        <v>276</v>
      </c>
      <c r="B81" s="20">
        <v>2</v>
      </c>
      <c r="C81" s="35"/>
      <c r="D81" s="39">
        <v>383405.20943333331</v>
      </c>
      <c r="E81" s="21">
        <f>B81*C81*D81</f>
        <v>0</v>
      </c>
      <c r="F81" s="316"/>
    </row>
    <row r="82" spans="1:6" x14ac:dyDescent="0.35">
      <c r="A82" s="107" t="s">
        <v>274</v>
      </c>
      <c r="B82" s="20">
        <v>1</v>
      </c>
      <c r="C82" s="35">
        <v>1.5</v>
      </c>
      <c r="D82" s="39">
        <v>355463.24792666658</v>
      </c>
      <c r="E82" s="21">
        <f t="shared" si="2"/>
        <v>533194.87188999983</v>
      </c>
      <c r="F82" s="316"/>
    </row>
    <row r="83" spans="1:6" x14ac:dyDescent="0.35">
      <c r="A83" s="107" t="s">
        <v>223</v>
      </c>
      <c r="B83" s="20">
        <v>1</v>
      </c>
      <c r="C83" s="35">
        <v>2.5</v>
      </c>
      <c r="D83" s="39">
        <v>383405.20943333331</v>
      </c>
      <c r="E83" s="21">
        <f>B83*C83*D83</f>
        <v>958513.02358333324</v>
      </c>
      <c r="F83" s="316"/>
    </row>
    <row r="84" spans="1:6" x14ac:dyDescent="0.35">
      <c r="A84" s="107" t="s">
        <v>275</v>
      </c>
      <c r="B84" s="117">
        <v>2</v>
      </c>
      <c r="C84" s="118">
        <v>2.5</v>
      </c>
      <c r="D84" s="119">
        <v>355463.24792666658</v>
      </c>
      <c r="E84" s="120">
        <f t="shared" si="2"/>
        <v>1777316.2396333329</v>
      </c>
      <c r="F84" s="316"/>
    </row>
    <row r="85" spans="1:6" x14ac:dyDescent="0.35">
      <c r="A85" s="287"/>
      <c r="B85" s="287"/>
      <c r="C85" s="287"/>
      <c r="D85" s="287"/>
      <c r="E85" s="287"/>
      <c r="F85" s="121">
        <f>SUM(E77:E84)</f>
        <v>4138586.4116266659</v>
      </c>
    </row>
    <row r="86" spans="1:6" x14ac:dyDescent="0.35">
      <c r="A86" s="33" t="s">
        <v>279</v>
      </c>
      <c r="B86" s="34" t="s">
        <v>83</v>
      </c>
      <c r="C86" s="35" t="s">
        <v>84</v>
      </c>
      <c r="D86" s="36" t="s">
        <v>269</v>
      </c>
      <c r="E86" s="37" t="s">
        <v>86</v>
      </c>
      <c r="F86" s="62"/>
    </row>
    <row r="87" spans="1:6" x14ac:dyDescent="0.35">
      <c r="A87" s="108" t="s">
        <v>240</v>
      </c>
      <c r="B87" s="108">
        <v>1</v>
      </c>
      <c r="C87" s="108">
        <v>0.5</v>
      </c>
      <c r="D87" s="108">
        <f>IFERROR(VLOOKUP(A87,[1]!TablaTransporte[#Data],2,FALSE),0)</f>
        <v>550000</v>
      </c>
      <c r="E87" s="110">
        <f>B87*C87*D87</f>
        <v>275000</v>
      </c>
      <c r="F87" s="283"/>
    </row>
    <row r="88" spans="1:6" x14ac:dyDescent="0.35">
      <c r="A88" s="108" t="s">
        <v>241</v>
      </c>
      <c r="B88" s="108">
        <v>1</v>
      </c>
      <c r="C88" s="108"/>
      <c r="D88" s="108">
        <f>IFERROR(VLOOKUP(A88,[1]!TablaTransporte[#Data],2,FALSE),0)</f>
        <v>65000</v>
      </c>
      <c r="E88" s="108">
        <f>B88*C88*D88</f>
        <v>0</v>
      </c>
      <c r="F88" s="284"/>
    </row>
    <row r="89" spans="1:6" x14ac:dyDescent="0.35">
      <c r="A89" s="108" t="s">
        <v>246</v>
      </c>
      <c r="B89" s="108">
        <v>1</v>
      </c>
      <c r="C89" s="108"/>
      <c r="D89" s="108">
        <f>IFERROR(VLOOKUP(A89,[1]!TablaTransporte[#Data],2,FALSE),0)</f>
        <v>322000</v>
      </c>
      <c r="E89" s="108">
        <f>B89*C89*D89</f>
        <v>0</v>
      </c>
      <c r="F89" s="284"/>
    </row>
    <row r="90" spans="1:6" ht="23" x14ac:dyDescent="0.35">
      <c r="A90" s="127" t="s">
        <v>244</v>
      </c>
      <c r="B90" s="128">
        <v>1</v>
      </c>
      <c r="C90" s="128"/>
      <c r="D90" s="128">
        <f>IFERROR(VLOOKUP(A90,[1]!TablaTransporte[#Data],2,FALSE),0)</f>
        <v>190000</v>
      </c>
      <c r="E90" s="128">
        <f>C90*D90</f>
        <v>0</v>
      </c>
      <c r="F90" s="284"/>
    </row>
    <row r="91" spans="1:6" ht="15.5" x14ac:dyDescent="0.35">
      <c r="A91" s="106" t="s">
        <v>245</v>
      </c>
      <c r="B91" s="128">
        <v>1</v>
      </c>
      <c r="C91" s="128"/>
      <c r="D91" s="108">
        <f>IFERROR(VLOOKUP(A91,[1]!TablaTransporte[#Data],2,FALSE),0)</f>
        <v>1350000</v>
      </c>
      <c r="E91" s="128">
        <f>C91*D91</f>
        <v>0</v>
      </c>
      <c r="F91" s="284"/>
    </row>
    <row r="92" spans="1:6" x14ac:dyDescent="0.35">
      <c r="A92" s="130" t="s">
        <v>280</v>
      </c>
      <c r="B92" s="128"/>
      <c r="C92" s="128"/>
      <c r="D92" s="128">
        <f>IFERROR(VLOOKUP(A92,[1]!TablaTransporte[#Data],2,FALSE),0)</f>
        <v>1330000</v>
      </c>
      <c r="E92" s="128">
        <f>C92*D92</f>
        <v>0</v>
      </c>
      <c r="F92" s="284"/>
    </row>
    <row r="93" spans="1:6" ht="15.5" x14ac:dyDescent="0.35">
      <c r="A93" s="122" t="s">
        <v>281</v>
      </c>
      <c r="B93" s="128">
        <v>1</v>
      </c>
      <c r="C93" s="128"/>
      <c r="D93" s="128">
        <f>IFERROR(VLOOKUP(A93,[1]!TablaTransporte[#Data],2,FALSE),0)</f>
        <v>840000</v>
      </c>
      <c r="E93" s="128">
        <f>B93*C93*D93</f>
        <v>0</v>
      </c>
      <c r="F93" s="284"/>
    </row>
    <row r="94" spans="1:6" x14ac:dyDescent="0.35">
      <c r="A94" s="130"/>
      <c r="B94" s="128"/>
      <c r="C94" s="128"/>
      <c r="D94" s="128">
        <f>IFERROR(VLOOKUP(A94,[1]!TablaTransporte[#Data],2,FALSE),0)</f>
        <v>0</v>
      </c>
      <c r="E94" s="128"/>
      <c r="F94" s="284"/>
    </row>
    <row r="95" spans="1:6" x14ac:dyDescent="0.35">
      <c r="A95" s="130"/>
      <c r="B95" s="128"/>
      <c r="C95" s="128"/>
      <c r="D95" s="128">
        <f>IFERROR(VLOOKUP(A95,[1]!TablaTransporte[#Data],2,FALSE),0)</f>
        <v>0</v>
      </c>
      <c r="E95" s="128"/>
      <c r="F95" s="284"/>
    </row>
    <row r="96" spans="1:6" x14ac:dyDescent="0.35">
      <c r="A96" s="130"/>
      <c r="B96" s="128"/>
      <c r="C96" s="128"/>
      <c r="D96" s="128">
        <f>IFERROR(VLOOKUP(A96,[1]!TablaTransporte[#Data],2,FALSE),0)</f>
        <v>0</v>
      </c>
      <c r="E96" s="128"/>
      <c r="F96" s="284"/>
    </row>
    <row r="97" spans="1:6" x14ac:dyDescent="0.35">
      <c r="A97" s="130"/>
      <c r="B97" s="128"/>
      <c r="C97" s="128"/>
      <c r="D97" s="128">
        <f>IFERROR(VLOOKUP(A97,[1]!TablaTransporte[#Data],2,FALSE),0)</f>
        <v>0</v>
      </c>
      <c r="E97" s="128"/>
      <c r="F97" s="284"/>
    </row>
    <row r="98" spans="1:6" x14ac:dyDescent="0.35">
      <c r="A98" s="130"/>
      <c r="B98" s="128"/>
      <c r="C98" s="128"/>
      <c r="D98" s="128">
        <f>IFERROR(VLOOKUP(A98,[1]!TablaTransporte[#Data],2,FALSE),0)</f>
        <v>0</v>
      </c>
      <c r="E98" s="128"/>
      <c r="F98" s="285"/>
    </row>
    <row r="99" spans="1:6" x14ac:dyDescent="0.35">
      <c r="A99" s="319"/>
      <c r="B99" s="320"/>
      <c r="C99" s="320"/>
      <c r="D99" s="320"/>
      <c r="E99" s="321"/>
      <c r="F99" s="42">
        <f>SUM(E87:E98)</f>
        <v>275000</v>
      </c>
    </row>
    <row r="100" spans="1:6" ht="15" thickBot="1" x14ac:dyDescent="0.4">
      <c r="A100" s="322"/>
      <c r="B100" s="292"/>
      <c r="C100" s="292"/>
      <c r="D100" s="292"/>
      <c r="E100" s="323"/>
      <c r="F100" s="42">
        <f>F38+F75+F85+F99</f>
        <v>5228386.4116266659</v>
      </c>
    </row>
    <row r="101" spans="1:6" ht="15" thickBot="1" x14ac:dyDescent="0.4">
      <c r="A101" s="302">
        <v>0.15</v>
      </c>
      <c r="B101" s="300"/>
      <c r="C101" s="300"/>
      <c r="D101" s="300"/>
      <c r="E101" s="301"/>
      <c r="F101" s="44">
        <f>F100*A101</f>
        <v>784257.96174399985</v>
      </c>
    </row>
    <row r="102" spans="1:6" ht="15" thickBot="1" x14ac:dyDescent="0.4">
      <c r="A102" s="286"/>
      <c r="B102" s="286"/>
      <c r="C102" s="286"/>
      <c r="D102" s="286"/>
      <c r="E102" s="286"/>
      <c r="F102" s="28">
        <f>F100+F101</f>
        <v>6012644.3733706661</v>
      </c>
    </row>
    <row r="103" spans="1:6" ht="15" thickBot="1" x14ac:dyDescent="0.4">
      <c r="A103" s="317">
        <v>0.1</v>
      </c>
      <c r="B103" s="306"/>
      <c r="C103" s="306"/>
      <c r="D103" s="306"/>
      <c r="E103" s="282"/>
      <c r="F103" s="28">
        <f>F102*A103</f>
        <v>601264.43733706663</v>
      </c>
    </row>
    <row r="104" spans="1:6" x14ac:dyDescent="0.35">
      <c r="F104" s="80">
        <f>F102+F103</f>
        <v>6613908.810707733</v>
      </c>
    </row>
    <row r="105" spans="1:6" x14ac:dyDescent="0.35">
      <c r="F105" s="80">
        <f>F104/F3</f>
        <v>1102318.1351179555</v>
      </c>
    </row>
  </sheetData>
  <mergeCells count="13">
    <mergeCell ref="F76:F84"/>
    <mergeCell ref="A85:E85"/>
    <mergeCell ref="F87:F98"/>
    <mergeCell ref="A99:E99"/>
    <mergeCell ref="A1:F1"/>
    <mergeCell ref="F4:F37"/>
    <mergeCell ref="A38:E38"/>
    <mergeCell ref="F39:F74"/>
    <mergeCell ref="A100:E100"/>
    <mergeCell ref="A101:E101"/>
    <mergeCell ref="A102:E102"/>
    <mergeCell ref="A103:E103"/>
    <mergeCell ref="A75:E75"/>
  </mergeCells>
  <dataValidations count="3">
    <dataValidation type="list" allowBlank="1" showInputMessage="1" showErrorMessage="1" sqref="A40:A75" xr:uid="{2DD3FFC0-97B5-479A-8C59-22CD90C9BA47}">
      <formula1>ListaMateriales</formula1>
    </dataValidation>
    <dataValidation type="list" allowBlank="1" showInputMessage="1" showErrorMessage="1" sqref="A3 A4 A5 A6 A7 A8 A9 A10 A11 A12 A13 A14 A15 A16 A17 A18 A19 A20 A21 A22 A23 A24 A25 A26 A27 A28 A29 A30 A31 A32 A33 A34 A35 A36 A37 A38" xr:uid="{051320B8-89EB-4438-966E-CA6A5C21321C}">
      <formula1>ListaEquipos</formula1>
    </dataValidation>
    <dataValidation type="list" allowBlank="1" showInputMessage="1" showErrorMessage="1" sqref="A88 A89 A90 A91 A92 A93 A94 A95 A96 A97 A98" xr:uid="{91EB88C6-0045-44FD-85BA-585C12BD7D7E}">
      <formula1>ListaTransporte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07D1-3AC3-4BA4-85A6-D9A2426FEFD7}">
  <sheetPr>
    <tabColor rgb="FF00B050"/>
  </sheetPr>
  <dimension ref="A1:F56"/>
  <sheetViews>
    <sheetView topLeftCell="A13" workbookViewId="0">
      <selection activeCell="E64" sqref="E64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54296875" bestFit="1" customWidth="1"/>
    <col min="5" max="5" width="11.453125" bestFit="1" customWidth="1"/>
    <col min="6" max="6" width="12.6328125" bestFit="1" customWidth="1"/>
  </cols>
  <sheetData>
    <row r="1" spans="1:6" x14ac:dyDescent="0.35">
      <c r="A1" s="306" t="s">
        <v>184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306</v>
      </c>
    </row>
    <row r="4" spans="1:6" x14ac:dyDescent="0.35">
      <c r="A4" s="24" t="s">
        <v>225</v>
      </c>
      <c r="B4" s="22">
        <v>1</v>
      </c>
      <c r="C4" s="23">
        <v>5</v>
      </c>
      <c r="D4" s="24">
        <f>IFERROR(VLOOKUP(A4,[1]!TablaEquipos[#Data],2,FALSE),0)</f>
        <v>1500</v>
      </c>
      <c r="E4" s="25">
        <f>B4*C4*D4</f>
        <v>7500</v>
      </c>
      <c r="F4" s="62"/>
    </row>
    <row r="5" spans="1:6" ht="15.5" x14ac:dyDescent="0.35">
      <c r="A5" s="122" t="s">
        <v>300</v>
      </c>
      <c r="B5" s="22">
        <v>1</v>
      </c>
      <c r="C5" s="23">
        <v>5</v>
      </c>
      <c r="D5" s="24">
        <f>IFERROR(VLOOKUP(A5,[1]!TablaEquipos[#Data],2,FALSE),0)</f>
        <v>700</v>
      </c>
      <c r="E5" s="25">
        <f t="shared" ref="E5:E14" si="0">B5*C5*D5</f>
        <v>3500</v>
      </c>
      <c r="F5" s="62"/>
    </row>
    <row r="6" spans="1:6" x14ac:dyDescent="0.35">
      <c r="A6" s="26" t="s">
        <v>447</v>
      </c>
      <c r="B6" s="22">
        <v>4</v>
      </c>
      <c r="C6" s="23">
        <v>5</v>
      </c>
      <c r="D6" s="24">
        <f>IFERROR(VLOOKUP(A6,[1]!TablaEquipos[#Data],2,FALSE),0)</f>
        <v>700</v>
      </c>
      <c r="E6" s="25">
        <f t="shared" si="0"/>
        <v>14000</v>
      </c>
      <c r="F6" s="62"/>
    </row>
    <row r="7" spans="1:6" x14ac:dyDescent="0.35">
      <c r="A7" s="26" t="s">
        <v>251</v>
      </c>
      <c r="B7" s="22">
        <v>4</v>
      </c>
      <c r="C7" s="23">
        <v>5</v>
      </c>
      <c r="D7" s="24">
        <f>IFERROR(VLOOKUP(A7,[1]!TablaEquipos[#Data],2,FALSE),0)</f>
        <v>700</v>
      </c>
      <c r="E7" s="25">
        <f t="shared" si="0"/>
        <v>14000</v>
      </c>
      <c r="F7" s="62"/>
    </row>
    <row r="8" spans="1:6" x14ac:dyDescent="0.35">
      <c r="A8" s="26" t="s">
        <v>252</v>
      </c>
      <c r="B8" s="22">
        <v>4</v>
      </c>
      <c r="C8" s="23">
        <v>5</v>
      </c>
      <c r="D8" s="24">
        <f>IFERROR(VLOOKUP(A8,[1]!TablaEquipos[#Data],2,FALSE),0)</f>
        <v>700</v>
      </c>
      <c r="E8" s="25">
        <f t="shared" si="0"/>
        <v>14000</v>
      </c>
      <c r="F8" s="62"/>
    </row>
    <row r="9" spans="1:6" x14ac:dyDescent="0.35">
      <c r="A9" s="24" t="s">
        <v>224</v>
      </c>
      <c r="B9" s="22">
        <v>1</v>
      </c>
      <c r="C9" s="23">
        <v>5</v>
      </c>
      <c r="D9" s="24">
        <f>IFERROR(VLOOKUP(A9,[1]!TablaEquipos[#Data],2,FALSE),0)</f>
        <v>1500</v>
      </c>
      <c r="E9" s="25">
        <f t="shared" si="0"/>
        <v>7500</v>
      </c>
      <c r="F9" s="62"/>
    </row>
    <row r="10" spans="1:6" x14ac:dyDescent="0.35">
      <c r="A10" s="24" t="s">
        <v>229</v>
      </c>
      <c r="B10" s="22">
        <v>4</v>
      </c>
      <c r="C10" s="23">
        <v>5</v>
      </c>
      <c r="D10" s="24">
        <f>IFERROR(VLOOKUP(A10,[1]!TablaEquipos[#Data],2,FALSE),0)</f>
        <v>1500</v>
      </c>
      <c r="E10" s="25">
        <f t="shared" si="0"/>
        <v>30000</v>
      </c>
      <c r="F10" s="62"/>
    </row>
    <row r="11" spans="1:6" ht="15.5" x14ac:dyDescent="0.35">
      <c r="A11" s="122" t="s">
        <v>443</v>
      </c>
      <c r="B11" s="123">
        <v>1</v>
      </c>
      <c r="C11" s="123">
        <v>7.5</v>
      </c>
      <c r="D11" s="24">
        <f>IFERROR(VLOOKUP(A11,[1]!TablaEquipos[#Data],2,FALSE),0)</f>
        <v>5000</v>
      </c>
      <c r="E11" s="25">
        <f t="shared" si="0"/>
        <v>37500</v>
      </c>
      <c r="F11" s="62"/>
    </row>
    <row r="12" spans="1:6" ht="15.5" x14ac:dyDescent="0.35">
      <c r="A12" s="122" t="s">
        <v>239</v>
      </c>
      <c r="B12" s="123">
        <v>12</v>
      </c>
      <c r="C12" s="123">
        <v>7.5</v>
      </c>
      <c r="D12" s="24">
        <f>IFERROR(VLOOKUP(A12,[1]!TablaEquipos[#Data],2,FALSE),0)</f>
        <v>1000</v>
      </c>
      <c r="E12" s="25">
        <f t="shared" si="0"/>
        <v>90000</v>
      </c>
      <c r="F12" s="62"/>
    </row>
    <row r="13" spans="1:6" ht="15.5" x14ac:dyDescent="0.35">
      <c r="A13" s="122" t="s">
        <v>448</v>
      </c>
      <c r="B13" s="123">
        <v>1</v>
      </c>
      <c r="C13" s="123">
        <v>5</v>
      </c>
      <c r="D13" s="24">
        <f>IFERROR(VLOOKUP(A13,[1]!TablaEquipos[#Data],2,FALSE),0)</f>
        <v>700</v>
      </c>
      <c r="E13" s="25">
        <f>B13*C13*D13</f>
        <v>3500</v>
      </c>
      <c r="F13" s="62"/>
    </row>
    <row r="14" spans="1:6" ht="15.5" x14ac:dyDescent="0.35">
      <c r="A14" s="122" t="s">
        <v>242</v>
      </c>
      <c r="B14" s="123">
        <v>10</v>
      </c>
      <c r="C14" s="123">
        <v>7.5</v>
      </c>
      <c r="D14" s="24">
        <f>IFERROR(VLOOKUP(A14,[1]!TablaEquipos[#Data],2,FALSE),0)</f>
        <v>1000</v>
      </c>
      <c r="E14" s="25">
        <f t="shared" si="0"/>
        <v>75000</v>
      </c>
      <c r="F14" s="62"/>
    </row>
    <row r="15" spans="1:6" ht="15" thickBot="1" x14ac:dyDescent="0.4">
      <c r="A15" s="294"/>
      <c r="B15" s="295"/>
      <c r="C15" s="295"/>
      <c r="D15" s="295"/>
      <c r="E15" s="295"/>
      <c r="F15" s="84">
        <f>SUM(E4:E14)</f>
        <v>296500</v>
      </c>
    </row>
    <row r="16" spans="1:6" x14ac:dyDescent="0.35">
      <c r="A16" s="38" t="s">
        <v>270</v>
      </c>
      <c r="B16" s="200" t="s">
        <v>83</v>
      </c>
      <c r="C16" s="201" t="s">
        <v>84</v>
      </c>
      <c r="D16" s="202" t="s">
        <v>269</v>
      </c>
      <c r="E16" s="203" t="s">
        <v>86</v>
      </c>
      <c r="F16" s="116"/>
    </row>
    <row r="17" spans="1:6" x14ac:dyDescent="0.35">
      <c r="A17" s="30" t="s">
        <v>254</v>
      </c>
      <c r="B17" s="22">
        <v>12</v>
      </c>
      <c r="C17" s="29"/>
      <c r="D17" s="27">
        <f>IFERROR(VLOOKUP(A17,[1]!TablaMateriales[#Data],2,FALSE),0)</f>
        <v>20000</v>
      </c>
      <c r="E17" s="27">
        <f>B17*D17</f>
        <v>240000</v>
      </c>
      <c r="F17" s="67"/>
    </row>
    <row r="18" spans="1:6" ht="23" x14ac:dyDescent="0.35">
      <c r="A18" s="31" t="s">
        <v>261</v>
      </c>
      <c r="B18" s="85">
        <v>1</v>
      </c>
      <c r="C18" s="23"/>
      <c r="D18" s="27">
        <f>IFERROR(VLOOKUP(A18,[1]!TablaMateriales[#Data],2,FALSE),0)</f>
        <v>55000</v>
      </c>
      <c r="E18" s="27">
        <f>B18*D18</f>
        <v>55000</v>
      </c>
      <c r="F18" s="67"/>
    </row>
    <row r="19" spans="1:6" ht="15.5" x14ac:dyDescent="0.35">
      <c r="A19" s="207" t="s">
        <v>356</v>
      </c>
      <c r="B19" s="78">
        <v>322</v>
      </c>
      <c r="C19" s="23"/>
      <c r="D19" s="27">
        <f>IFERROR(VLOOKUP(A19,[1]!TablaMateriales[#Data],2,FALSE),0)</f>
        <v>35000</v>
      </c>
      <c r="E19" s="27">
        <f t="shared" ref="E19:E24" si="1">B19*D19</f>
        <v>11270000</v>
      </c>
      <c r="F19" s="67"/>
    </row>
    <row r="20" spans="1:6" ht="15.5" x14ac:dyDescent="0.35">
      <c r="A20" s="115" t="s">
        <v>357</v>
      </c>
      <c r="B20" s="78">
        <v>306</v>
      </c>
      <c r="C20" s="23"/>
      <c r="D20" s="27">
        <f>IFERROR(VLOOKUP(A20,[1]!TablaMateriales[#Data],2,FALSE),0)</f>
        <v>5000</v>
      </c>
      <c r="E20" s="27">
        <f t="shared" si="1"/>
        <v>1530000</v>
      </c>
      <c r="F20" s="67"/>
    </row>
    <row r="21" spans="1:6" ht="15.5" x14ac:dyDescent="0.35">
      <c r="A21" s="204" t="s">
        <v>387</v>
      </c>
      <c r="B21" s="205">
        <v>10</v>
      </c>
      <c r="C21" s="206"/>
      <c r="D21" s="147">
        <f>IFERROR(VLOOKUP(A21,[1]!TablaMateriales[#Data],2,FALSE),0)</f>
        <v>6000</v>
      </c>
      <c r="E21" s="27">
        <f t="shared" si="1"/>
        <v>60000</v>
      </c>
      <c r="F21" s="157"/>
    </row>
    <row r="22" spans="1:6" ht="15.5" x14ac:dyDescent="0.35">
      <c r="A22" s="115" t="s">
        <v>444</v>
      </c>
      <c r="B22" s="78">
        <v>50</v>
      </c>
      <c r="C22" s="23"/>
      <c r="D22" s="27">
        <f>IFERROR(VLOOKUP(A22,[1]!TablaMateriales[#Data],2,FALSE),0)</f>
        <v>33400</v>
      </c>
      <c r="E22" s="27">
        <f t="shared" si="1"/>
        <v>1670000</v>
      </c>
      <c r="F22" s="157"/>
    </row>
    <row r="23" spans="1:6" ht="15.5" x14ac:dyDescent="0.35">
      <c r="A23" s="115" t="s">
        <v>445</v>
      </c>
      <c r="B23" s="78">
        <v>12</v>
      </c>
      <c r="C23" s="23"/>
      <c r="D23" s="27">
        <f>IFERROR(VLOOKUP(A23,[1]!TablaMateriales[#Data],2,FALSE),0)</f>
        <v>34900</v>
      </c>
      <c r="E23" s="27">
        <f t="shared" si="1"/>
        <v>418800</v>
      </c>
      <c r="F23" s="157"/>
    </row>
    <row r="24" spans="1:6" ht="15.5" x14ac:dyDescent="0.35">
      <c r="A24" s="115" t="s">
        <v>446</v>
      </c>
      <c r="B24" s="78">
        <v>1</v>
      </c>
      <c r="C24" s="23"/>
      <c r="D24" s="27">
        <f>IFERROR(VLOOKUP(A24,[1]!TablaMateriales[#Data],2,FALSE),0)</f>
        <v>155000</v>
      </c>
      <c r="E24" s="27">
        <f t="shared" si="1"/>
        <v>155000</v>
      </c>
      <c r="F24" s="157"/>
    </row>
    <row r="25" spans="1:6" ht="16" thickBot="1" x14ac:dyDescent="0.4">
      <c r="A25" s="115"/>
      <c r="B25" s="78"/>
      <c r="C25" s="23"/>
      <c r="D25" s="27">
        <f>IFERROR(VLOOKUP(A25,[1]!TablaMateriales[#Data],2,FALSE),0)</f>
        <v>0</v>
      </c>
      <c r="E25" s="27"/>
      <c r="F25" s="191"/>
    </row>
    <row r="26" spans="1:6" x14ac:dyDescent="0.35">
      <c r="A26" s="314"/>
      <c r="B26" s="314"/>
      <c r="C26" s="314"/>
      <c r="D26" s="314"/>
      <c r="E26" s="314"/>
      <c r="F26" s="116">
        <f>SUM(E17:E25)</f>
        <v>15398800</v>
      </c>
    </row>
    <row r="27" spans="1:6" x14ac:dyDescent="0.35">
      <c r="A27" s="33" t="s">
        <v>88</v>
      </c>
      <c r="B27" s="34" t="s">
        <v>83</v>
      </c>
      <c r="C27" s="35" t="s">
        <v>84</v>
      </c>
      <c r="D27" s="36" t="s">
        <v>89</v>
      </c>
      <c r="E27" s="37" t="s">
        <v>86</v>
      </c>
      <c r="F27" s="315"/>
    </row>
    <row r="28" spans="1:6" x14ac:dyDescent="0.35">
      <c r="A28" s="38" t="s">
        <v>272</v>
      </c>
      <c r="B28" s="34">
        <v>1</v>
      </c>
      <c r="C28" s="35">
        <v>9.48</v>
      </c>
      <c r="D28" s="39">
        <v>434781.13826000009</v>
      </c>
      <c r="E28" s="37">
        <f>B28*C28*D28</f>
        <v>4121725.1907048011</v>
      </c>
      <c r="F28" s="316"/>
    </row>
    <row r="29" spans="1:6" x14ac:dyDescent="0.35">
      <c r="A29" s="107" t="s">
        <v>273</v>
      </c>
      <c r="B29" s="20">
        <v>1</v>
      </c>
      <c r="C29" s="40">
        <v>9.48</v>
      </c>
      <c r="D29" s="39">
        <v>434781.13826000009</v>
      </c>
      <c r="E29" s="21">
        <f t="shared" ref="E29:E35" si="2">B29*C29*D29</f>
        <v>4121725.1907048011</v>
      </c>
      <c r="F29" s="316"/>
    </row>
    <row r="30" spans="1:6" x14ac:dyDescent="0.35">
      <c r="A30" s="107" t="s">
        <v>277</v>
      </c>
      <c r="B30" s="20">
        <v>1</v>
      </c>
      <c r="C30" s="35"/>
      <c r="D30" s="39">
        <v>434781.13826000009</v>
      </c>
      <c r="E30" s="21">
        <f>B30*C30*D30</f>
        <v>0</v>
      </c>
      <c r="F30" s="316"/>
    </row>
    <row r="31" spans="1:6" x14ac:dyDescent="0.35">
      <c r="A31" s="107" t="s">
        <v>278</v>
      </c>
      <c r="B31" s="20">
        <v>1.5</v>
      </c>
      <c r="C31" s="35"/>
      <c r="D31" s="39">
        <v>383405.20943333331</v>
      </c>
      <c r="E31" s="21">
        <f>B31*C31*D31</f>
        <v>0</v>
      </c>
      <c r="F31" s="316"/>
    </row>
    <row r="32" spans="1:6" x14ac:dyDescent="0.35">
      <c r="A32" s="107" t="s">
        <v>276</v>
      </c>
      <c r="B32" s="20">
        <v>2</v>
      </c>
      <c r="C32" s="35"/>
      <c r="D32" s="39">
        <v>383405.20943333331</v>
      </c>
      <c r="E32" s="21">
        <f>B32*C32*D32</f>
        <v>0</v>
      </c>
      <c r="F32" s="316"/>
    </row>
    <row r="33" spans="1:6" x14ac:dyDescent="0.35">
      <c r="A33" s="107" t="s">
        <v>274</v>
      </c>
      <c r="B33" s="20">
        <v>2</v>
      </c>
      <c r="C33" s="35">
        <v>9.48</v>
      </c>
      <c r="D33" s="39">
        <v>355463.24792666658</v>
      </c>
      <c r="E33" s="21">
        <f t="shared" si="2"/>
        <v>6739583.1806895984</v>
      </c>
      <c r="F33" s="316"/>
    </row>
    <row r="34" spans="1:6" x14ac:dyDescent="0.35">
      <c r="A34" s="107" t="s">
        <v>223</v>
      </c>
      <c r="B34" s="20">
        <v>1</v>
      </c>
      <c r="C34" s="35">
        <v>9.48</v>
      </c>
      <c r="D34" s="39">
        <v>383405.20943333331</v>
      </c>
      <c r="E34" s="21">
        <f>B34*C34*D34</f>
        <v>3634681.3854279998</v>
      </c>
      <c r="F34" s="316"/>
    </row>
    <row r="35" spans="1:6" x14ac:dyDescent="0.35">
      <c r="A35" s="107" t="s">
        <v>275</v>
      </c>
      <c r="B35" s="117">
        <v>8</v>
      </c>
      <c r="C35" s="118">
        <v>9.48</v>
      </c>
      <c r="D35" s="119">
        <v>355463.24792666658</v>
      </c>
      <c r="E35" s="120">
        <f t="shared" si="2"/>
        <v>26958332.722758394</v>
      </c>
      <c r="F35" s="316"/>
    </row>
    <row r="36" spans="1:6" x14ac:dyDescent="0.35">
      <c r="A36" s="287"/>
      <c r="B36" s="287"/>
      <c r="C36" s="287"/>
      <c r="D36" s="287"/>
      <c r="E36" s="287"/>
      <c r="F36" s="121">
        <f>SUM(E28:E35)</f>
        <v>45576047.670285597</v>
      </c>
    </row>
    <row r="37" spans="1:6" x14ac:dyDescent="0.35">
      <c r="A37" s="33" t="s">
        <v>279</v>
      </c>
      <c r="B37" s="34" t="s">
        <v>83</v>
      </c>
      <c r="C37" s="35" t="s">
        <v>84</v>
      </c>
      <c r="D37" s="36" t="s">
        <v>269</v>
      </c>
      <c r="E37" s="37" t="s">
        <v>86</v>
      </c>
      <c r="F37" s="62"/>
    </row>
    <row r="38" spans="1:6" x14ac:dyDescent="0.35">
      <c r="A38" s="164" t="s">
        <v>240</v>
      </c>
      <c r="B38" s="108">
        <v>1</v>
      </c>
      <c r="C38" s="108">
        <v>5</v>
      </c>
      <c r="D38" s="108">
        <f>IFERROR(VLOOKUP(A38,[1]!TablaTransporte[#Data],2,FALSE),0)</f>
        <v>550000</v>
      </c>
      <c r="E38" s="110">
        <f>B38*C38*D38</f>
        <v>2750000</v>
      </c>
      <c r="F38" s="283"/>
    </row>
    <row r="39" spans="1:6" x14ac:dyDescent="0.35">
      <c r="A39" s="164" t="s">
        <v>241</v>
      </c>
      <c r="B39" s="108">
        <v>1</v>
      </c>
      <c r="C39" s="108"/>
      <c r="D39" s="108">
        <f>IFERROR(VLOOKUP(A39,[1]!TablaTransporte[#Data],2,FALSE),0)</f>
        <v>65000</v>
      </c>
      <c r="E39" s="108">
        <f>B39*C39*D39</f>
        <v>0</v>
      </c>
      <c r="F39" s="284"/>
    </row>
    <row r="40" spans="1:6" x14ac:dyDescent="0.35">
      <c r="A40" s="164" t="s">
        <v>246</v>
      </c>
      <c r="B40" s="108">
        <v>1</v>
      </c>
      <c r="C40" s="108"/>
      <c r="D40" s="108">
        <f>IFERROR(VLOOKUP(A40,[1]!TablaTransporte[#Data],2,FALSE),0)</f>
        <v>322000</v>
      </c>
      <c r="E40" s="108">
        <f>B40*C40*D40</f>
        <v>0</v>
      </c>
      <c r="F40" s="284"/>
    </row>
    <row r="41" spans="1:6" ht="23" x14ac:dyDescent="0.35">
      <c r="A41" s="127" t="s">
        <v>244</v>
      </c>
      <c r="B41" s="128">
        <v>1</v>
      </c>
      <c r="C41" s="128"/>
      <c r="D41" s="128">
        <f>IFERROR(VLOOKUP(A41,[1]!TablaTransporte[#Data],2,FALSE),0)</f>
        <v>190000</v>
      </c>
      <c r="E41" s="128">
        <f>C41*D41</f>
        <v>0</v>
      </c>
      <c r="F41" s="284"/>
    </row>
    <row r="42" spans="1:6" ht="15.5" x14ac:dyDescent="0.35">
      <c r="A42" s="174" t="s">
        <v>245</v>
      </c>
      <c r="B42" s="128">
        <v>1</v>
      </c>
      <c r="C42" s="128"/>
      <c r="D42" s="108">
        <f>IFERROR(VLOOKUP(A42,[1]!TablaTransporte[#Data],2,FALSE),0)</f>
        <v>1350000</v>
      </c>
      <c r="E42" s="128">
        <f>C42*D42</f>
        <v>0</v>
      </c>
      <c r="F42" s="284"/>
    </row>
    <row r="43" spans="1:6" x14ac:dyDescent="0.35">
      <c r="A43" s="130" t="s">
        <v>280</v>
      </c>
      <c r="B43" s="128"/>
      <c r="C43" s="128"/>
      <c r="D43" s="128">
        <f>IFERROR(VLOOKUP(A43,[1]!TablaTransporte[#Data],2,FALSE),0)</f>
        <v>1330000</v>
      </c>
      <c r="E43" s="128">
        <f>C43*D43</f>
        <v>0</v>
      </c>
      <c r="F43" s="284"/>
    </row>
    <row r="44" spans="1:6" ht="15.5" x14ac:dyDescent="0.35">
      <c r="A44" s="177" t="s">
        <v>281</v>
      </c>
      <c r="B44" s="128">
        <v>1</v>
      </c>
      <c r="C44" s="128"/>
      <c r="D44" s="128">
        <f>IFERROR(VLOOKUP(A44,[1]!TablaTransporte[#Data],2,FALSE),0)</f>
        <v>840000</v>
      </c>
      <c r="E44" s="128">
        <f>B44*C44*D44</f>
        <v>0</v>
      </c>
      <c r="F44" s="284"/>
    </row>
    <row r="45" spans="1:6" x14ac:dyDescent="0.35">
      <c r="A45" s="130" t="s">
        <v>381</v>
      </c>
      <c r="B45" s="128">
        <v>1</v>
      </c>
      <c r="C45" s="128">
        <v>5</v>
      </c>
      <c r="D45" s="128">
        <f>IFERROR(VLOOKUP(A45,[1]!TablaTransporte[#Data],2,FALSE),0)</f>
        <v>600000</v>
      </c>
      <c r="E45" s="128">
        <f>B45*C45*D45</f>
        <v>3000000</v>
      </c>
      <c r="F45" s="284"/>
    </row>
    <row r="46" spans="1:6" x14ac:dyDescent="0.35">
      <c r="A46" s="130"/>
      <c r="B46" s="128"/>
      <c r="C46" s="128"/>
      <c r="D46" s="128">
        <f>IFERROR(VLOOKUP(A46,[1]!TablaTransporte[#Data],2,FALSE),0)</f>
        <v>0</v>
      </c>
      <c r="E46" s="128"/>
      <c r="F46" s="284"/>
    </row>
    <row r="47" spans="1:6" x14ac:dyDescent="0.35">
      <c r="A47" s="130"/>
      <c r="B47" s="128"/>
      <c r="C47" s="128"/>
      <c r="D47" s="128">
        <f>IFERROR(VLOOKUP(A47,[1]!TablaTransporte[#Data],2,FALSE),0)</f>
        <v>0</v>
      </c>
      <c r="E47" s="128"/>
      <c r="F47" s="284"/>
    </row>
    <row r="48" spans="1:6" x14ac:dyDescent="0.35">
      <c r="A48" s="130"/>
      <c r="B48" s="128"/>
      <c r="C48" s="128"/>
      <c r="D48" s="128">
        <f>IFERROR(VLOOKUP(A48,[1]!TablaTransporte[#Data],2,FALSE),0)</f>
        <v>0</v>
      </c>
      <c r="E48" s="128"/>
      <c r="F48" s="284"/>
    </row>
    <row r="49" spans="1:6" x14ac:dyDescent="0.35">
      <c r="A49" s="130"/>
      <c r="B49" s="128"/>
      <c r="C49" s="128"/>
      <c r="D49" s="128">
        <f>IFERROR(VLOOKUP(A49,[1]!TablaTransporte[#Data],2,FALSE),0)</f>
        <v>0</v>
      </c>
      <c r="E49" s="128"/>
      <c r="F49" s="285"/>
    </row>
    <row r="50" spans="1:6" x14ac:dyDescent="0.35">
      <c r="A50" s="319"/>
      <c r="B50" s="320"/>
      <c r="C50" s="320"/>
      <c r="D50" s="320"/>
      <c r="E50" s="321"/>
      <c r="F50" s="42">
        <f>SUM(E38:E49)</f>
        <v>5750000</v>
      </c>
    </row>
    <row r="51" spans="1:6" ht="15" thickBot="1" x14ac:dyDescent="0.4">
      <c r="A51" s="322"/>
      <c r="B51" s="292"/>
      <c r="C51" s="292"/>
      <c r="D51" s="292"/>
      <c r="E51" s="323"/>
      <c r="F51" s="42">
        <f>F15+F26+F36+F50</f>
        <v>67021347.670285597</v>
      </c>
    </row>
    <row r="52" spans="1:6" ht="15" thickBot="1" x14ac:dyDescent="0.4">
      <c r="A52" s="302"/>
      <c r="B52" s="300"/>
      <c r="C52" s="300"/>
      <c r="D52" s="300"/>
      <c r="E52" s="301"/>
      <c r="F52" s="44">
        <f>F51*A52</f>
        <v>0</v>
      </c>
    </row>
    <row r="53" spans="1:6" ht="15" thickBot="1" x14ac:dyDescent="0.4">
      <c r="A53" s="286"/>
      <c r="B53" s="286"/>
      <c r="C53" s="286"/>
      <c r="D53" s="286"/>
      <c r="E53" s="286"/>
      <c r="F53" s="28">
        <f>F51+F52</f>
        <v>67021347.670285597</v>
      </c>
    </row>
    <row r="54" spans="1:6" ht="15" thickBot="1" x14ac:dyDescent="0.4">
      <c r="A54" s="317"/>
      <c r="B54" s="306"/>
      <c r="C54" s="306"/>
      <c r="D54" s="306"/>
      <c r="E54" s="282"/>
      <c r="F54" s="28">
        <f>F53*A54</f>
        <v>0</v>
      </c>
    </row>
    <row r="55" spans="1:6" x14ac:dyDescent="0.35">
      <c r="F55" s="80">
        <f>F53+F54</f>
        <v>67021347.670285597</v>
      </c>
    </row>
    <row r="56" spans="1:6" x14ac:dyDescent="0.35">
      <c r="F56" s="176">
        <f>F55/F3</f>
        <v>219024.01199439738</v>
      </c>
    </row>
  </sheetData>
  <mergeCells count="11">
    <mergeCell ref="F27:F35"/>
    <mergeCell ref="A36:E36"/>
    <mergeCell ref="F38:F49"/>
    <mergeCell ref="A50:E50"/>
    <mergeCell ref="A1:F1"/>
    <mergeCell ref="A15:E15"/>
    <mergeCell ref="A51:E51"/>
    <mergeCell ref="A52:E52"/>
    <mergeCell ref="A53:E53"/>
    <mergeCell ref="A54:E54"/>
    <mergeCell ref="A26:E26"/>
  </mergeCells>
  <dataValidations count="3">
    <dataValidation type="list" allowBlank="1" showInputMessage="1" showErrorMessage="1" sqref="A39:A49" xr:uid="{E000282C-88E6-4D82-817B-E1BB5D2261DC}">
      <formula1>ListaTransporte</formula1>
    </dataValidation>
    <dataValidation type="list" allowBlank="1" showInputMessage="1" showErrorMessage="1" sqref="A17:A26" xr:uid="{48B8CCFA-23C6-4A06-A0E5-DC56CA9B5D57}">
      <formula1>ListaMateriales</formula1>
    </dataValidation>
    <dataValidation type="list" allowBlank="1" showInputMessage="1" showErrorMessage="1" sqref="A3:A15" xr:uid="{05FA2F41-17D8-43C8-9A7C-F56282F166E2}">
      <formula1>ListaEquipos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4155D-22BA-4B00-80BA-E5E91734088C}">
  <sheetPr>
    <tabColor rgb="FF00B050"/>
  </sheetPr>
  <dimension ref="A1:F105"/>
  <sheetViews>
    <sheetView topLeftCell="A94" workbookViewId="0">
      <selection activeCell="B113" sqref="B113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54296875" bestFit="1" customWidth="1"/>
    <col min="6" max="6" width="12.6328125" bestFit="1" customWidth="1"/>
  </cols>
  <sheetData>
    <row r="1" spans="1:6" x14ac:dyDescent="0.35">
      <c r="A1" s="306" t="s">
        <v>185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10</v>
      </c>
    </row>
    <row r="4" spans="1:6" x14ac:dyDescent="0.35">
      <c r="A4" s="24" t="s">
        <v>225</v>
      </c>
      <c r="B4" s="22">
        <v>2</v>
      </c>
      <c r="C4" s="23">
        <v>2</v>
      </c>
      <c r="D4" s="24">
        <f>IFERROR(VLOOKUP(A4,[1]!TablaEquipos[#Data],2,FALSE),0)</f>
        <v>1500</v>
      </c>
      <c r="E4" s="25">
        <f t="shared" ref="E4:E28" si="0">B4*C4*D4</f>
        <v>6000</v>
      </c>
      <c r="F4" s="310"/>
    </row>
    <row r="5" spans="1:6" ht="15.5" x14ac:dyDescent="0.35">
      <c r="A5" s="122" t="s">
        <v>300</v>
      </c>
      <c r="B5" s="22">
        <v>2</v>
      </c>
      <c r="C5" s="23">
        <v>2</v>
      </c>
      <c r="D5" s="24">
        <f>IFERROR(VLOOKUP(A5,[1]!TablaEquipos[#Data],2,FALSE),0)</f>
        <v>700</v>
      </c>
      <c r="E5" s="25">
        <f t="shared" si="0"/>
        <v>2800</v>
      </c>
      <c r="F5" s="310"/>
    </row>
    <row r="6" spans="1:6" x14ac:dyDescent="0.35">
      <c r="A6" s="26" t="s">
        <v>226</v>
      </c>
      <c r="B6" s="22">
        <v>1</v>
      </c>
      <c r="C6" s="23"/>
      <c r="D6" s="24">
        <f>IFERROR(VLOOKUP(A6,[1]!TablaEquipos[#Data],2,FALSE),0)</f>
        <v>700</v>
      </c>
      <c r="E6" s="25">
        <f t="shared" si="0"/>
        <v>0</v>
      </c>
      <c r="F6" s="310"/>
    </row>
    <row r="7" spans="1:6" x14ac:dyDescent="0.35">
      <c r="A7" s="26" t="s">
        <v>227</v>
      </c>
      <c r="B7" s="22">
        <v>2</v>
      </c>
      <c r="C7" s="23">
        <v>2</v>
      </c>
      <c r="D7" s="24">
        <f>IFERROR(VLOOKUP(A7,[1]!TablaEquipos[#Data],2,FALSE),0)</f>
        <v>700</v>
      </c>
      <c r="E7" s="25">
        <f t="shared" si="0"/>
        <v>2800</v>
      </c>
      <c r="F7" s="310"/>
    </row>
    <row r="8" spans="1:6" x14ac:dyDescent="0.35">
      <c r="A8" s="26" t="s">
        <v>251</v>
      </c>
      <c r="B8" s="22">
        <v>2</v>
      </c>
      <c r="C8" s="23">
        <v>2</v>
      </c>
      <c r="D8" s="24">
        <f>IFERROR(VLOOKUP(A8,[1]!TablaEquipos[#Data],2,FALSE),0)</f>
        <v>700</v>
      </c>
      <c r="E8" s="25">
        <f t="shared" si="0"/>
        <v>2800</v>
      </c>
      <c r="F8" s="310"/>
    </row>
    <row r="9" spans="1:6" x14ac:dyDescent="0.35">
      <c r="A9" s="26" t="s">
        <v>252</v>
      </c>
      <c r="B9" s="22">
        <v>8</v>
      </c>
      <c r="C9" s="23"/>
      <c r="D9" s="24">
        <f>IFERROR(VLOOKUP(A9,[1]!TablaEquipos[#Data],2,FALSE),0)</f>
        <v>700</v>
      </c>
      <c r="E9" s="25">
        <f t="shared" si="0"/>
        <v>0</v>
      </c>
      <c r="F9" s="310"/>
    </row>
    <row r="10" spans="1:6" x14ac:dyDescent="0.35">
      <c r="A10" s="26" t="s">
        <v>231</v>
      </c>
      <c r="B10" s="22">
        <v>4</v>
      </c>
      <c r="C10" s="23"/>
      <c r="D10" s="24">
        <f>IFERROR(VLOOKUP(A10,[1]!TablaEquipos[#Data],2,FALSE),0)</f>
        <v>1500</v>
      </c>
      <c r="E10" s="25">
        <f t="shared" si="0"/>
        <v>0</v>
      </c>
      <c r="F10" s="310"/>
    </row>
    <row r="11" spans="1:6" x14ac:dyDescent="0.35">
      <c r="A11" s="24" t="s">
        <v>228</v>
      </c>
      <c r="B11" s="22">
        <v>1</v>
      </c>
      <c r="C11" s="23">
        <v>2</v>
      </c>
      <c r="D11" s="24">
        <f>IFERROR(VLOOKUP(A11,[1]!TablaEquipos[#Data],2,FALSE),0)</f>
        <v>1500</v>
      </c>
      <c r="E11" s="25">
        <f t="shared" si="0"/>
        <v>3000</v>
      </c>
      <c r="F11" s="310"/>
    </row>
    <row r="12" spans="1:6" x14ac:dyDescent="0.35">
      <c r="A12" s="24" t="s">
        <v>224</v>
      </c>
      <c r="B12" s="22">
        <v>1</v>
      </c>
      <c r="C12" s="23"/>
      <c r="D12" s="24">
        <f>IFERROR(VLOOKUP(A12,[1]!TablaEquipos[#Data],2,FALSE),0)</f>
        <v>1500</v>
      </c>
      <c r="E12" s="25">
        <f t="shared" si="0"/>
        <v>0</v>
      </c>
      <c r="F12" s="310"/>
    </row>
    <row r="13" spans="1:6" x14ac:dyDescent="0.35">
      <c r="A13" s="26" t="s">
        <v>230</v>
      </c>
      <c r="B13" s="22">
        <v>1</v>
      </c>
      <c r="C13" s="23"/>
      <c r="D13" s="24">
        <f>IFERROR(VLOOKUP(A13,[1]!TablaEquipos[#Data],2,FALSE),0)</f>
        <v>15000</v>
      </c>
      <c r="E13" s="25">
        <f t="shared" si="0"/>
        <v>0</v>
      </c>
      <c r="F13" s="310"/>
    </row>
    <row r="14" spans="1:6" x14ac:dyDescent="0.35">
      <c r="A14" s="81" t="s">
        <v>232</v>
      </c>
      <c r="B14" s="82">
        <v>1</v>
      </c>
      <c r="C14" s="32">
        <v>2</v>
      </c>
      <c r="D14" s="24">
        <f>IFERROR(VLOOKUP(A14,[1]!TablaEquipos[#Data],2,FALSE),0)</f>
        <v>500</v>
      </c>
      <c r="E14" s="25">
        <f t="shared" si="0"/>
        <v>1000</v>
      </c>
      <c r="F14" s="310"/>
    </row>
    <row r="15" spans="1:6" x14ac:dyDescent="0.35">
      <c r="A15" s="24" t="s">
        <v>233</v>
      </c>
      <c r="B15" s="22"/>
      <c r="C15" s="23"/>
      <c r="D15" s="24">
        <f>IFERROR(VLOOKUP(A15,[1]!TablaEquipos[#Data],2,FALSE),0)</f>
        <v>500</v>
      </c>
      <c r="E15" s="25">
        <f t="shared" si="0"/>
        <v>0</v>
      </c>
      <c r="F15" s="310"/>
    </row>
    <row r="16" spans="1:6" x14ac:dyDescent="0.35">
      <c r="A16" s="24" t="s">
        <v>234</v>
      </c>
      <c r="B16" s="22"/>
      <c r="C16" s="23"/>
      <c r="D16" s="24">
        <f>IFERROR(VLOOKUP(A16,[1]!TablaEquipos[#Data],2,FALSE),0)</f>
        <v>135000</v>
      </c>
      <c r="E16" s="25">
        <f t="shared" si="0"/>
        <v>0</v>
      </c>
      <c r="F16" s="310"/>
    </row>
    <row r="17" spans="1:6" x14ac:dyDescent="0.35">
      <c r="A17" s="24" t="s">
        <v>235</v>
      </c>
      <c r="B17" s="22"/>
      <c r="C17" s="23"/>
      <c r="D17" s="24">
        <f>IFERROR(VLOOKUP(A17,[1]!TablaEquipos[#Data],2,FALSE),0)</f>
        <v>0</v>
      </c>
      <c r="E17" s="25">
        <f t="shared" si="0"/>
        <v>0</v>
      </c>
      <c r="F17" s="310"/>
    </row>
    <row r="18" spans="1:6" x14ac:dyDescent="0.35">
      <c r="A18" s="24" t="s">
        <v>236</v>
      </c>
      <c r="B18" s="22"/>
      <c r="C18" s="23"/>
      <c r="D18" s="24">
        <f>IFERROR(VLOOKUP(A18,[1]!TablaEquipos[#Data],2,FALSE),0)</f>
        <v>9000</v>
      </c>
      <c r="E18" s="25">
        <f t="shared" si="0"/>
        <v>0</v>
      </c>
      <c r="F18" s="310"/>
    </row>
    <row r="19" spans="1:6" x14ac:dyDescent="0.35">
      <c r="A19" s="24" t="s">
        <v>237</v>
      </c>
      <c r="B19" s="22"/>
      <c r="C19" s="23"/>
      <c r="D19" s="24">
        <f>IFERROR(VLOOKUP(A19,[1]!TablaEquipos[#Data],2,FALSE),0)</f>
        <v>1000</v>
      </c>
      <c r="E19" s="25">
        <f t="shared" si="0"/>
        <v>0</v>
      </c>
      <c r="F19" s="310"/>
    </row>
    <row r="20" spans="1:6" x14ac:dyDescent="0.35">
      <c r="A20" s="24" t="s">
        <v>229</v>
      </c>
      <c r="B20" s="22">
        <v>2</v>
      </c>
      <c r="C20" s="23">
        <v>2</v>
      </c>
      <c r="D20" s="24">
        <f>IFERROR(VLOOKUP(A20,[1]!TablaEquipos[#Data],2,FALSE),0)</f>
        <v>1500</v>
      </c>
      <c r="E20" s="25">
        <f t="shared" si="0"/>
        <v>6000</v>
      </c>
      <c r="F20" s="310"/>
    </row>
    <row r="21" spans="1:6" ht="23" x14ac:dyDescent="0.35">
      <c r="A21" s="26" t="s">
        <v>247</v>
      </c>
      <c r="B21" s="22"/>
      <c r="C21" s="23"/>
      <c r="D21" s="24">
        <f>IFERROR(VLOOKUP(A21,[1]!TablaEquipos[#Data],2,FALSE),0)</f>
        <v>80000</v>
      </c>
      <c r="E21" s="25">
        <f t="shared" si="0"/>
        <v>0</v>
      </c>
      <c r="F21" s="310"/>
    </row>
    <row r="22" spans="1:6" ht="15.5" x14ac:dyDescent="0.35">
      <c r="A22" s="105" t="s">
        <v>248</v>
      </c>
      <c r="B22" s="22">
        <v>1</v>
      </c>
      <c r="C22" s="23"/>
      <c r="D22" s="24">
        <f>IFERROR(VLOOKUP(A22,[1]!TablaEquipos[#Data],2,FALSE),0)</f>
        <v>100000</v>
      </c>
      <c r="E22" s="25">
        <f t="shared" si="0"/>
        <v>0</v>
      </c>
      <c r="F22" s="310"/>
    </row>
    <row r="23" spans="1:6" ht="31" x14ac:dyDescent="0.35">
      <c r="A23" s="104" t="s">
        <v>249</v>
      </c>
      <c r="B23" s="22">
        <v>1</v>
      </c>
      <c r="C23" s="23"/>
      <c r="D23" s="24">
        <f>IFERROR(VLOOKUP(A23,[1]!TablaEquipos[#Data],2,FALSE),0)</f>
        <v>40000</v>
      </c>
      <c r="E23" s="25">
        <f t="shared" si="0"/>
        <v>0</v>
      </c>
      <c r="F23" s="310"/>
    </row>
    <row r="24" spans="1:6" ht="31" x14ac:dyDescent="0.35">
      <c r="A24" s="104" t="s">
        <v>250</v>
      </c>
      <c r="B24" s="22">
        <v>1</v>
      </c>
      <c r="C24" s="23"/>
      <c r="D24" s="24">
        <f>IFERROR(VLOOKUP(A24,[1]!TablaEquipos[#Data],2,FALSE),0)</f>
        <v>60000</v>
      </c>
      <c r="E24" s="25">
        <f t="shared" si="0"/>
        <v>0</v>
      </c>
      <c r="F24" s="310"/>
    </row>
    <row r="25" spans="1:6" ht="15.5" x14ac:dyDescent="0.35">
      <c r="A25" s="122" t="s">
        <v>301</v>
      </c>
      <c r="B25" s="22">
        <v>2</v>
      </c>
      <c r="C25" s="23"/>
      <c r="D25" s="24">
        <f>IFERROR(VLOOKUP(A25,[1]!TablaEquipos[#Data],2,FALSE),0)</f>
        <v>500</v>
      </c>
      <c r="E25" s="25">
        <f t="shared" si="0"/>
        <v>0</v>
      </c>
      <c r="F25" s="310"/>
    </row>
    <row r="26" spans="1:6" ht="15.5" x14ac:dyDescent="0.35">
      <c r="A26" s="122" t="s">
        <v>347</v>
      </c>
      <c r="B26" s="123">
        <v>2</v>
      </c>
      <c r="C26" s="123"/>
      <c r="D26" s="24">
        <f>IFERROR(VLOOKUP(A26,[1]!TablaEquipos[#Data],2,FALSE),0)</f>
        <v>625</v>
      </c>
      <c r="E26" s="123">
        <f t="shared" si="0"/>
        <v>0</v>
      </c>
      <c r="F26" s="310"/>
    </row>
    <row r="27" spans="1:6" ht="15.5" x14ac:dyDescent="0.35">
      <c r="A27" s="122" t="s">
        <v>348</v>
      </c>
      <c r="B27" s="123">
        <v>12</v>
      </c>
      <c r="C27" s="123"/>
      <c r="D27" s="24">
        <f>IFERROR(VLOOKUP(A27,[1]!TablaEquipos[#Data],2,FALSE),0)</f>
        <v>0</v>
      </c>
      <c r="E27" s="123">
        <f t="shared" si="0"/>
        <v>0</v>
      </c>
      <c r="F27" s="310"/>
    </row>
    <row r="28" spans="1:6" ht="15.5" x14ac:dyDescent="0.35">
      <c r="A28" s="122" t="s">
        <v>242</v>
      </c>
      <c r="B28" s="123">
        <v>10</v>
      </c>
      <c r="C28" s="123">
        <v>2</v>
      </c>
      <c r="D28" s="24">
        <f>IFERROR(VLOOKUP(A28,[1]!TablaEquipos[#Data],2,FALSE),0)</f>
        <v>1000</v>
      </c>
      <c r="E28" s="123">
        <f t="shared" si="0"/>
        <v>20000</v>
      </c>
      <c r="F28" s="310"/>
    </row>
    <row r="29" spans="1:6" ht="15.5" x14ac:dyDescent="0.35">
      <c r="A29" s="133" t="s">
        <v>316</v>
      </c>
      <c r="B29" s="123"/>
      <c r="C29" s="123"/>
      <c r="D29" s="24"/>
      <c r="E29" s="123"/>
      <c r="F29" s="310"/>
    </row>
    <row r="30" spans="1:6" ht="15.5" x14ac:dyDescent="0.35">
      <c r="A30" s="133" t="s">
        <v>317</v>
      </c>
      <c r="B30" s="123"/>
      <c r="C30" s="123"/>
      <c r="D30" s="24"/>
      <c r="E30" s="123"/>
      <c r="F30" s="310"/>
    </row>
    <row r="31" spans="1:6" ht="15.5" x14ac:dyDescent="0.35">
      <c r="A31" s="122" t="s">
        <v>318</v>
      </c>
      <c r="B31" s="123"/>
      <c r="C31" s="123"/>
      <c r="D31" s="24"/>
      <c r="E31" s="123"/>
      <c r="F31" s="310"/>
    </row>
    <row r="32" spans="1:6" ht="15.5" x14ac:dyDescent="0.35">
      <c r="A32" s="122"/>
      <c r="B32" s="123"/>
      <c r="C32" s="123"/>
      <c r="D32" s="24"/>
      <c r="E32" s="123"/>
      <c r="F32" s="310"/>
    </row>
    <row r="33" spans="1:6" ht="15.5" x14ac:dyDescent="0.35">
      <c r="A33" s="122"/>
      <c r="B33" s="123"/>
      <c r="C33" s="123"/>
      <c r="D33" s="24"/>
      <c r="E33" s="123"/>
      <c r="F33" s="310"/>
    </row>
    <row r="34" spans="1:6" ht="15.5" x14ac:dyDescent="0.35">
      <c r="A34" s="122"/>
      <c r="B34" s="123"/>
      <c r="C34" s="123"/>
      <c r="D34" s="24"/>
      <c r="E34" s="123"/>
      <c r="F34" s="310"/>
    </row>
    <row r="35" spans="1:6" ht="15.5" x14ac:dyDescent="0.35">
      <c r="A35" s="122"/>
      <c r="B35" s="123"/>
      <c r="C35" s="123"/>
      <c r="D35" s="24"/>
      <c r="E35" s="123"/>
      <c r="F35" s="310"/>
    </row>
    <row r="36" spans="1:6" ht="15.5" x14ac:dyDescent="0.35">
      <c r="A36" s="122"/>
      <c r="B36" s="123"/>
      <c r="C36" s="123"/>
      <c r="D36" s="24"/>
      <c r="E36" s="123"/>
      <c r="F36" s="310"/>
    </row>
    <row r="37" spans="1:6" ht="15.5" x14ac:dyDescent="0.35">
      <c r="A37" s="122"/>
      <c r="B37" s="123"/>
      <c r="C37" s="123"/>
      <c r="D37" s="24"/>
      <c r="E37" s="123"/>
      <c r="F37" s="310"/>
    </row>
    <row r="38" spans="1:6" ht="15" thickBot="1" x14ac:dyDescent="0.4">
      <c r="A38" s="294"/>
      <c r="B38" s="295"/>
      <c r="C38" s="295"/>
      <c r="D38" s="295"/>
      <c r="E38" s="295"/>
      <c r="F38" s="84">
        <f>SUM(E4:E37)</f>
        <v>44400</v>
      </c>
    </row>
    <row r="39" spans="1:6" x14ac:dyDescent="0.35">
      <c r="A39" s="33" t="s">
        <v>270</v>
      </c>
      <c r="B39" s="34" t="s">
        <v>83</v>
      </c>
      <c r="C39" s="45" t="s">
        <v>84</v>
      </c>
      <c r="D39" s="46" t="s">
        <v>269</v>
      </c>
      <c r="E39" s="37" t="s">
        <v>86</v>
      </c>
      <c r="F39" s="324"/>
    </row>
    <row r="40" spans="1:6" x14ac:dyDescent="0.35">
      <c r="A40" s="26" t="s">
        <v>253</v>
      </c>
      <c r="B40" s="22"/>
      <c r="C40" s="29"/>
      <c r="D40" s="27">
        <f>IFERROR(VLOOKUP(A40,[1]!TablaMateriales[#Data],2,FALSE),0)</f>
        <v>35000</v>
      </c>
      <c r="E40" s="25">
        <f>B40*D40</f>
        <v>0</v>
      </c>
      <c r="F40" s="325"/>
    </row>
    <row r="41" spans="1:6" x14ac:dyDescent="0.35">
      <c r="A41" s="30" t="s">
        <v>254</v>
      </c>
      <c r="B41" s="22"/>
      <c r="C41" s="29"/>
      <c r="D41" s="27">
        <f>IFERROR(VLOOKUP(A41,[1]!TablaMateriales[#Data],2,FALSE),0)</f>
        <v>20000</v>
      </c>
      <c r="E41" s="25">
        <f>B41*D41</f>
        <v>0</v>
      </c>
      <c r="F41" s="325"/>
    </row>
    <row r="42" spans="1:6" x14ac:dyDescent="0.35">
      <c r="A42" s="30" t="s">
        <v>255</v>
      </c>
      <c r="B42" s="22"/>
      <c r="C42" s="29"/>
      <c r="D42" s="27">
        <f>IFERROR(VLOOKUP(A42,[1]!TablaMateriales[#Data],2,FALSE),0)</f>
        <v>50000</v>
      </c>
      <c r="E42" s="25">
        <f>B42*D42</f>
        <v>0</v>
      </c>
      <c r="F42" s="325"/>
    </row>
    <row r="43" spans="1:6" x14ac:dyDescent="0.35">
      <c r="A43" s="30" t="s">
        <v>256</v>
      </c>
      <c r="B43" s="22"/>
      <c r="C43" s="29"/>
      <c r="D43" s="27">
        <f>IFERROR(VLOOKUP(A43,[1]!TablaMateriales[#Data],2,FALSE),0)</f>
        <v>0</v>
      </c>
      <c r="E43" s="25">
        <f>B43*D43</f>
        <v>0</v>
      </c>
      <c r="F43" s="325"/>
    </row>
    <row r="44" spans="1:6" x14ac:dyDescent="0.35">
      <c r="A44" s="30" t="s">
        <v>257</v>
      </c>
      <c r="B44" s="78"/>
      <c r="C44" s="23"/>
      <c r="D44" s="27">
        <f>IFERROR(VLOOKUP(A44,[1]!TablaMateriales[#Data],2,FALSE),0)</f>
        <v>9500</v>
      </c>
      <c r="E44" s="25">
        <f>B44*D44</f>
        <v>0</v>
      </c>
      <c r="F44" s="325"/>
    </row>
    <row r="45" spans="1:6" x14ac:dyDescent="0.35">
      <c r="A45" s="30" t="s">
        <v>258</v>
      </c>
      <c r="B45" s="78"/>
      <c r="C45" s="23"/>
      <c r="D45" s="27">
        <f>IFERROR(VLOOKUP(A45,[1]!TablaMateriales[#Data],2,FALSE),0)</f>
        <v>9500</v>
      </c>
      <c r="E45" s="25">
        <f t="shared" ref="E45:E61" si="1">B45*D45</f>
        <v>0</v>
      </c>
      <c r="F45" s="325"/>
    </row>
    <row r="46" spans="1:6" x14ac:dyDescent="0.35">
      <c r="A46" s="30" t="s">
        <v>259</v>
      </c>
      <c r="B46" s="78"/>
      <c r="C46" s="23"/>
      <c r="D46" s="27">
        <f>IFERROR(VLOOKUP(A46,[1]!TablaMateriales[#Data],2,FALSE),0)</f>
        <v>15000</v>
      </c>
      <c r="E46" s="25">
        <f t="shared" si="1"/>
        <v>0</v>
      </c>
      <c r="F46" s="325"/>
    </row>
    <row r="47" spans="1:6" x14ac:dyDescent="0.35">
      <c r="A47" s="30" t="s">
        <v>260</v>
      </c>
      <c r="B47" s="78"/>
      <c r="C47" s="23"/>
      <c r="D47" s="27">
        <f>IFERROR(VLOOKUP(A47,[1]!TablaMateriales[#Data],2,FALSE),0)</f>
        <v>20000</v>
      </c>
      <c r="E47" s="25">
        <f t="shared" si="1"/>
        <v>0</v>
      </c>
      <c r="F47" s="325"/>
    </row>
    <row r="48" spans="1:6" ht="23" x14ac:dyDescent="0.35">
      <c r="A48" s="79" t="s">
        <v>261</v>
      </c>
      <c r="B48" s="85"/>
      <c r="C48" s="23"/>
      <c r="D48" s="27">
        <f>IFERROR(VLOOKUP(A48,[1]!TablaMateriales[#Data],2,FALSE),0)</f>
        <v>55000</v>
      </c>
      <c r="E48" s="25">
        <f t="shared" si="1"/>
        <v>0</v>
      </c>
      <c r="F48" s="325"/>
    </row>
    <row r="49" spans="1:6" x14ac:dyDescent="0.35">
      <c r="A49" s="30" t="s">
        <v>262</v>
      </c>
      <c r="B49" s="78"/>
      <c r="C49" s="23"/>
      <c r="D49" s="27">
        <f>IFERROR(VLOOKUP(A49,[1]!TablaMateriales[#Data],2,FALSE),0)</f>
        <v>15900</v>
      </c>
      <c r="E49" s="25">
        <f t="shared" si="1"/>
        <v>0</v>
      </c>
      <c r="F49" s="325"/>
    </row>
    <row r="50" spans="1:6" x14ac:dyDescent="0.35">
      <c r="A50" s="31" t="s">
        <v>263</v>
      </c>
      <c r="B50" s="78"/>
      <c r="C50" s="23"/>
      <c r="D50" s="27">
        <f>IFERROR(VLOOKUP(A50,[1]!TablaMateriales[#Data],2,FALSE),0)</f>
        <v>14000</v>
      </c>
      <c r="E50" s="25">
        <f t="shared" si="1"/>
        <v>0</v>
      </c>
      <c r="F50" s="325"/>
    </row>
    <row r="51" spans="1:6" x14ac:dyDescent="0.35">
      <c r="A51" s="31" t="s">
        <v>264</v>
      </c>
      <c r="B51" s="78"/>
      <c r="C51" s="23"/>
      <c r="D51" s="27">
        <f>IFERROR(VLOOKUP(A51,[1]!TablaMateriales[#Data],2,FALSE),0)</f>
        <v>3800</v>
      </c>
      <c r="E51" s="27">
        <f t="shared" si="1"/>
        <v>0</v>
      </c>
      <c r="F51" s="325"/>
    </row>
    <row r="52" spans="1:6" x14ac:dyDescent="0.35">
      <c r="A52" s="31" t="s">
        <v>265</v>
      </c>
      <c r="B52" s="78"/>
      <c r="C52" s="23"/>
      <c r="D52" s="27">
        <f>IFERROR(VLOOKUP(A52,[1]!TablaMateriales[#Data],2,FALSE),0)</f>
        <v>65000</v>
      </c>
      <c r="E52" s="27">
        <f t="shared" si="1"/>
        <v>0</v>
      </c>
      <c r="F52" s="325"/>
    </row>
    <row r="53" spans="1:6" x14ac:dyDescent="0.35">
      <c r="A53" s="31" t="s">
        <v>266</v>
      </c>
      <c r="B53" s="78"/>
      <c r="C53" s="23"/>
      <c r="D53" s="27">
        <f>IFERROR(VLOOKUP(A53,[1]!TablaMateriales[#Data],2,FALSE),0)</f>
        <v>65000</v>
      </c>
      <c r="E53" s="27">
        <f t="shared" si="1"/>
        <v>0</v>
      </c>
      <c r="F53" s="325"/>
    </row>
    <row r="54" spans="1:6" x14ac:dyDescent="0.35">
      <c r="A54" s="31" t="s">
        <v>267</v>
      </c>
      <c r="B54" s="78"/>
      <c r="C54" s="23"/>
      <c r="D54" s="27">
        <f>IFERROR(VLOOKUP(A54,[1]!TablaMateriales[#Data],2,FALSE),0)</f>
        <v>65000</v>
      </c>
      <c r="E54" s="27">
        <f t="shared" si="1"/>
        <v>0</v>
      </c>
      <c r="F54" s="325"/>
    </row>
    <row r="55" spans="1:6" x14ac:dyDescent="0.35">
      <c r="A55" s="124" t="s">
        <v>243</v>
      </c>
      <c r="B55" s="78"/>
      <c r="C55" s="23"/>
      <c r="D55" s="27">
        <f>IFERROR(VLOOKUP(A55,[1]!TablaMateriales[#Data],2,FALSE),0)</f>
        <v>9500</v>
      </c>
      <c r="E55" s="27">
        <f t="shared" si="1"/>
        <v>0</v>
      </c>
      <c r="F55" s="325"/>
    </row>
    <row r="56" spans="1:6" x14ac:dyDescent="0.35">
      <c r="A56" s="125" t="s">
        <v>353</v>
      </c>
      <c r="B56" s="113"/>
      <c r="C56" s="32"/>
      <c r="D56" s="114">
        <f>IFERROR(VLOOKUP(A56,[1]!TablaMateriales[#Data],2,FALSE),0)</f>
        <v>0</v>
      </c>
      <c r="E56" s="114">
        <f t="shared" si="1"/>
        <v>0</v>
      </c>
      <c r="F56" s="325"/>
    </row>
    <row r="57" spans="1:6" ht="15.5" x14ac:dyDescent="0.35">
      <c r="A57" s="111" t="s">
        <v>361</v>
      </c>
      <c r="B57" s="78"/>
      <c r="C57" s="23"/>
      <c r="D57" s="27">
        <f>IFERROR(VLOOKUP(A57,[1]!TablaMateriales[#Data],2,FALSE),0)</f>
        <v>0</v>
      </c>
      <c r="E57" s="27">
        <f t="shared" si="1"/>
        <v>0</v>
      </c>
      <c r="F57" s="325"/>
    </row>
    <row r="58" spans="1:6" ht="15.5" x14ac:dyDescent="0.35">
      <c r="A58" s="111" t="s">
        <v>363</v>
      </c>
      <c r="B58" s="78"/>
      <c r="C58" s="23"/>
      <c r="D58" s="114">
        <f>IFERROR(VLOOKUP(A58,[1]!TablaMateriales[#Data],2,FALSE),0)</f>
        <v>0</v>
      </c>
      <c r="E58" s="27">
        <f t="shared" si="1"/>
        <v>0</v>
      </c>
      <c r="F58" s="325"/>
    </row>
    <row r="59" spans="1:6" ht="15.5" x14ac:dyDescent="0.35">
      <c r="A59" s="131" t="s">
        <v>364</v>
      </c>
      <c r="B59" s="78"/>
      <c r="C59" s="23"/>
      <c r="D59" s="27">
        <f>IFERROR(VLOOKUP(A59,[1]!TablaMateriales[#Data],2,FALSE),0)</f>
        <v>0</v>
      </c>
      <c r="E59" s="27">
        <f t="shared" si="1"/>
        <v>0</v>
      </c>
      <c r="F59" s="325"/>
    </row>
    <row r="60" spans="1:6" ht="15.5" x14ac:dyDescent="0.35">
      <c r="A60" s="111" t="s">
        <v>365</v>
      </c>
      <c r="B60" s="78"/>
      <c r="C60" s="23"/>
      <c r="D60" s="27">
        <f>IFERROR(VLOOKUP(A60,[1]!TablaMateriales[#Data],2,FALSE),0)</f>
        <v>0</v>
      </c>
      <c r="E60" s="27">
        <f t="shared" si="1"/>
        <v>0</v>
      </c>
      <c r="F60" s="325"/>
    </row>
    <row r="61" spans="1:6" ht="15.5" x14ac:dyDescent="0.35">
      <c r="A61" s="111" t="s">
        <v>366</v>
      </c>
      <c r="B61" s="78"/>
      <c r="C61" s="23"/>
      <c r="D61" s="114">
        <f>IFERROR(VLOOKUP(A61,[1]!TablaMateriales[#Data],2,FALSE),0)</f>
        <v>0</v>
      </c>
      <c r="E61" s="27">
        <f t="shared" si="1"/>
        <v>0</v>
      </c>
      <c r="F61" s="325"/>
    </row>
    <row r="62" spans="1:6" ht="15.5" x14ac:dyDescent="0.35">
      <c r="A62" s="111" t="s">
        <v>367</v>
      </c>
      <c r="B62" s="78"/>
      <c r="C62" s="23"/>
      <c r="D62" s="114">
        <f>IFERROR(VLOOKUP(A62,[1]!TablaMateriales[#Data],2,FALSE),0)</f>
        <v>0</v>
      </c>
      <c r="E62" s="27"/>
      <c r="F62" s="325"/>
    </row>
    <row r="63" spans="1:6" ht="15.5" x14ac:dyDescent="0.35">
      <c r="A63" s="111" t="s">
        <v>368</v>
      </c>
      <c r="B63" s="78"/>
      <c r="C63" s="23"/>
      <c r="D63" s="27">
        <f>IFERROR(VLOOKUP(A63,[1]!TablaMateriales[#Data],2,FALSE),0)</f>
        <v>0</v>
      </c>
      <c r="E63" s="27">
        <f t="shared" ref="E63:E70" si="2">B63*D63</f>
        <v>0</v>
      </c>
      <c r="F63" s="325"/>
    </row>
    <row r="64" spans="1:6" ht="15.5" x14ac:dyDescent="0.35">
      <c r="A64" s="111" t="s">
        <v>369</v>
      </c>
      <c r="B64" s="78"/>
      <c r="C64" s="23"/>
      <c r="D64" s="114">
        <f>IFERROR(VLOOKUP(A64,[1]!TablaMateriales[#Data],2,FALSE),0)</f>
        <v>0</v>
      </c>
      <c r="E64" s="27">
        <f t="shared" si="2"/>
        <v>0</v>
      </c>
      <c r="F64" s="325"/>
    </row>
    <row r="65" spans="1:6" x14ac:dyDescent="0.35">
      <c r="A65" s="126" t="s">
        <v>367</v>
      </c>
      <c r="B65" s="78"/>
      <c r="C65" s="23"/>
      <c r="D65" s="114">
        <f>IFERROR(VLOOKUP(A65,[1]!TablaMateriales[#Data],2,FALSE),0)</f>
        <v>0</v>
      </c>
      <c r="E65" s="27">
        <f t="shared" si="2"/>
        <v>0</v>
      </c>
      <c r="F65" s="325"/>
    </row>
    <row r="66" spans="1:6" ht="15.5" x14ac:dyDescent="0.35">
      <c r="A66" s="111" t="s">
        <v>370</v>
      </c>
      <c r="B66" s="78"/>
      <c r="C66" s="23"/>
      <c r="D66" s="27">
        <f>IFERROR(VLOOKUP(A66,[1]!TablaMateriales[#Data],2,FALSE),0)</f>
        <v>0</v>
      </c>
      <c r="E66" s="27">
        <f t="shared" si="2"/>
        <v>0</v>
      </c>
      <c r="F66" s="325"/>
    </row>
    <row r="67" spans="1:6" ht="15.5" x14ac:dyDescent="0.35">
      <c r="A67" s="112" t="s">
        <v>371</v>
      </c>
      <c r="B67" s="113"/>
      <c r="C67" s="32"/>
      <c r="D67" s="114">
        <f>IFERROR(VLOOKUP(A67,[1]!TablaMateriales[#Data],2,FALSE),0)</f>
        <v>0</v>
      </c>
      <c r="E67" s="114">
        <f t="shared" si="2"/>
        <v>0</v>
      </c>
      <c r="F67" s="325"/>
    </row>
    <row r="68" spans="1:6" ht="15.5" x14ac:dyDescent="0.35">
      <c r="A68" s="132" t="s">
        <v>356</v>
      </c>
      <c r="B68" s="78"/>
      <c r="C68" s="23"/>
      <c r="D68" s="27">
        <f>IFERROR(VLOOKUP(A68,[1]!TablaMateriales[#Data],2,FALSE),0)</f>
        <v>35000</v>
      </c>
      <c r="E68" s="27">
        <f t="shared" si="2"/>
        <v>0</v>
      </c>
      <c r="F68" s="325"/>
    </row>
    <row r="69" spans="1:6" ht="15.5" x14ac:dyDescent="0.35">
      <c r="A69" s="111" t="s">
        <v>357</v>
      </c>
      <c r="B69" s="78"/>
      <c r="C69" s="23"/>
      <c r="D69" s="114">
        <f>IFERROR(VLOOKUP(A69,[1]!TablaMateriales[#Data],2,FALSE),0)</f>
        <v>5000</v>
      </c>
      <c r="E69" s="27">
        <f t="shared" si="2"/>
        <v>0</v>
      </c>
      <c r="F69" s="325"/>
    </row>
    <row r="70" spans="1:6" ht="15.5" x14ac:dyDescent="0.35">
      <c r="A70" s="111" t="s">
        <v>358</v>
      </c>
      <c r="B70" s="134">
        <v>0.2</v>
      </c>
      <c r="C70" s="23"/>
      <c r="D70" s="114">
        <f>IFERROR(VLOOKUP(A70,[1]!TablaMateriales[#Data],2,FALSE),0)</f>
        <v>450000</v>
      </c>
      <c r="E70" s="27">
        <f t="shared" si="2"/>
        <v>90000</v>
      </c>
      <c r="F70" s="325"/>
    </row>
    <row r="71" spans="1:6" ht="15.5" x14ac:dyDescent="0.35">
      <c r="A71" s="115"/>
      <c r="B71" s="78"/>
      <c r="C71" s="23"/>
      <c r="D71" s="27">
        <f>IFERROR(VLOOKUP(A71,[1]!TablaMateriales[#Data],2,FALSE),0)</f>
        <v>0</v>
      </c>
      <c r="E71" s="27"/>
      <c r="F71" s="325"/>
    </row>
    <row r="72" spans="1:6" ht="15.5" x14ac:dyDescent="0.35">
      <c r="A72" s="115"/>
      <c r="B72" s="78"/>
      <c r="C72" s="23"/>
      <c r="D72" s="27">
        <f>IFERROR(VLOOKUP(A72,[1]!TablaMateriales[#Data],2,FALSE),0)</f>
        <v>0</v>
      </c>
      <c r="E72" s="27"/>
      <c r="F72" s="325"/>
    </row>
    <row r="73" spans="1:6" ht="15.5" x14ac:dyDescent="0.35">
      <c r="A73" s="115"/>
      <c r="B73" s="78"/>
      <c r="C73" s="23"/>
      <c r="D73" s="27">
        <f>IFERROR(VLOOKUP(A73,[1]!TablaMateriales[#Data],2,FALSE),0)</f>
        <v>0</v>
      </c>
      <c r="E73" s="27"/>
      <c r="F73" s="325"/>
    </row>
    <row r="74" spans="1:6" ht="16" thickBot="1" x14ac:dyDescent="0.4">
      <c r="A74" s="115"/>
      <c r="B74" s="78"/>
      <c r="C74" s="23"/>
      <c r="D74" s="27">
        <f>IFERROR(VLOOKUP(A74,[1]!TablaMateriales[#Data],2,FALSE),0)</f>
        <v>0</v>
      </c>
      <c r="E74" s="27"/>
      <c r="F74" s="326"/>
    </row>
    <row r="75" spans="1:6" x14ac:dyDescent="0.35">
      <c r="A75" s="314"/>
      <c r="B75" s="314"/>
      <c r="C75" s="314"/>
      <c r="D75" s="314"/>
      <c r="E75" s="314"/>
      <c r="F75" s="116">
        <f>SUM(E40:E74)</f>
        <v>90000</v>
      </c>
    </row>
    <row r="76" spans="1:6" x14ac:dyDescent="0.35">
      <c r="A76" s="33" t="s">
        <v>88</v>
      </c>
      <c r="B76" s="34" t="s">
        <v>83</v>
      </c>
      <c r="C76" s="35" t="s">
        <v>84</v>
      </c>
      <c r="D76" s="36" t="s">
        <v>89</v>
      </c>
      <c r="E76" s="37" t="s">
        <v>86</v>
      </c>
      <c r="F76" s="315"/>
    </row>
    <row r="77" spans="1:6" x14ac:dyDescent="0.35">
      <c r="A77" s="38" t="s">
        <v>272</v>
      </c>
      <c r="B77" s="34">
        <v>1</v>
      </c>
      <c r="C77" s="35">
        <v>2.5</v>
      </c>
      <c r="D77" s="39">
        <v>434781.13826000009</v>
      </c>
      <c r="E77" s="37">
        <f>B77*C77*D77</f>
        <v>1086952.8456500003</v>
      </c>
      <c r="F77" s="316"/>
    </row>
    <row r="78" spans="1:6" x14ac:dyDescent="0.35">
      <c r="A78" s="107" t="s">
        <v>273</v>
      </c>
      <c r="B78" s="20">
        <v>1</v>
      </c>
      <c r="C78" s="40">
        <v>2.5</v>
      </c>
      <c r="D78" s="39">
        <v>434781.13826000009</v>
      </c>
      <c r="E78" s="21">
        <f t="shared" ref="E78:E84" si="3">B78*C78*D78</f>
        <v>1086952.8456500003</v>
      </c>
      <c r="F78" s="316"/>
    </row>
    <row r="79" spans="1:6" x14ac:dyDescent="0.35">
      <c r="A79" s="107" t="s">
        <v>277</v>
      </c>
      <c r="B79" s="20">
        <v>1</v>
      </c>
      <c r="C79" s="35"/>
      <c r="D79" s="39">
        <v>434781.13826000009</v>
      </c>
      <c r="E79" s="21">
        <f>B79*C79*D79</f>
        <v>0</v>
      </c>
      <c r="F79" s="316"/>
    </row>
    <row r="80" spans="1:6" x14ac:dyDescent="0.35">
      <c r="A80" s="107" t="s">
        <v>278</v>
      </c>
      <c r="B80" s="20">
        <v>1.5</v>
      </c>
      <c r="C80" s="35"/>
      <c r="D80" s="39">
        <v>383405.20943333331</v>
      </c>
      <c r="E80" s="21">
        <f>B80*C80*D80</f>
        <v>0</v>
      </c>
      <c r="F80" s="316"/>
    </row>
    <row r="81" spans="1:6" x14ac:dyDescent="0.35">
      <c r="A81" s="107" t="s">
        <v>276</v>
      </c>
      <c r="B81" s="20">
        <v>2</v>
      </c>
      <c r="C81" s="35"/>
      <c r="D81" s="39">
        <v>383405.20943333331</v>
      </c>
      <c r="E81" s="21">
        <f>B81*C81*D81</f>
        <v>0</v>
      </c>
      <c r="F81" s="316"/>
    </row>
    <row r="82" spans="1:6" x14ac:dyDescent="0.35">
      <c r="A82" s="107" t="s">
        <v>274</v>
      </c>
      <c r="B82" s="20">
        <v>1</v>
      </c>
      <c r="C82" s="35">
        <v>2.5</v>
      </c>
      <c r="D82" s="39">
        <v>355463.24792666658</v>
      </c>
      <c r="E82" s="21">
        <f t="shared" si="3"/>
        <v>888658.11981666647</v>
      </c>
      <c r="F82" s="316"/>
    </row>
    <row r="83" spans="1:6" x14ac:dyDescent="0.35">
      <c r="A83" s="107" t="s">
        <v>223</v>
      </c>
      <c r="B83" s="20">
        <v>1</v>
      </c>
      <c r="C83" s="35">
        <v>2.5</v>
      </c>
      <c r="D83" s="39">
        <v>383405.20943333331</v>
      </c>
      <c r="E83" s="21">
        <f>B83*C83*D83</f>
        <v>958513.02358333324</v>
      </c>
      <c r="F83" s="316"/>
    </row>
    <row r="84" spans="1:6" x14ac:dyDescent="0.35">
      <c r="A84" s="107" t="s">
        <v>275</v>
      </c>
      <c r="B84" s="117">
        <v>4</v>
      </c>
      <c r="C84" s="118">
        <v>2.5</v>
      </c>
      <c r="D84" s="119">
        <v>355463.24792666658</v>
      </c>
      <c r="E84" s="120">
        <f t="shared" si="3"/>
        <v>3554632.4792666659</v>
      </c>
      <c r="F84" s="316"/>
    </row>
    <row r="85" spans="1:6" x14ac:dyDescent="0.35">
      <c r="A85" s="287"/>
      <c r="B85" s="287"/>
      <c r="C85" s="287"/>
      <c r="D85" s="287"/>
      <c r="E85" s="287"/>
      <c r="F85" s="121">
        <f>SUM(E77:E84)</f>
        <v>7575709.3139666663</v>
      </c>
    </row>
    <row r="86" spans="1:6" x14ac:dyDescent="0.35">
      <c r="A86" s="33" t="s">
        <v>279</v>
      </c>
      <c r="B86" s="34" t="s">
        <v>83</v>
      </c>
      <c r="C86" s="35" t="s">
        <v>84</v>
      </c>
      <c r="D86" s="36" t="s">
        <v>269</v>
      </c>
      <c r="E86" s="37" t="s">
        <v>86</v>
      </c>
      <c r="F86" s="62"/>
    </row>
    <row r="87" spans="1:6" x14ac:dyDescent="0.35">
      <c r="A87" s="108" t="s">
        <v>240</v>
      </c>
      <c r="B87" s="108">
        <v>1</v>
      </c>
      <c r="C87" s="108"/>
      <c r="D87" s="108">
        <f>IFERROR(VLOOKUP(A87,[1]!TablaTransporte[#Data],2,FALSE),0)</f>
        <v>550000</v>
      </c>
      <c r="E87" s="110">
        <f>B87*C87*D87</f>
        <v>0</v>
      </c>
      <c r="F87" s="283"/>
    </row>
    <row r="88" spans="1:6" x14ac:dyDescent="0.35">
      <c r="A88" s="108" t="s">
        <v>241</v>
      </c>
      <c r="B88" s="108">
        <v>1</v>
      </c>
      <c r="C88" s="108"/>
      <c r="D88" s="108">
        <f>IFERROR(VLOOKUP(A88,[1]!TablaTransporte[#Data],2,FALSE),0)</f>
        <v>65000</v>
      </c>
      <c r="E88" s="108">
        <f>B88*C88*D88</f>
        <v>0</v>
      </c>
      <c r="F88" s="284"/>
    </row>
    <row r="89" spans="1:6" x14ac:dyDescent="0.35">
      <c r="A89" s="108" t="s">
        <v>246</v>
      </c>
      <c r="B89" s="108">
        <v>1</v>
      </c>
      <c r="C89" s="108"/>
      <c r="D89" s="108">
        <f>IFERROR(VLOOKUP(A89,[1]!TablaTransporte[#Data],2,FALSE),0)</f>
        <v>322000</v>
      </c>
      <c r="E89" s="108">
        <f>B89*C89*D89</f>
        <v>0</v>
      </c>
      <c r="F89" s="284"/>
    </row>
    <row r="90" spans="1:6" ht="23" x14ac:dyDescent="0.35">
      <c r="A90" s="127" t="s">
        <v>244</v>
      </c>
      <c r="B90" s="128">
        <v>1</v>
      </c>
      <c r="C90" s="128"/>
      <c r="D90" s="128">
        <f>IFERROR(VLOOKUP(A90,[1]!TablaTransporte[#Data],2,FALSE),0)</f>
        <v>190000</v>
      </c>
      <c r="E90" s="128">
        <f>C90*D90</f>
        <v>0</v>
      </c>
      <c r="F90" s="284"/>
    </row>
    <row r="91" spans="1:6" ht="15.5" x14ac:dyDescent="0.35">
      <c r="A91" s="106" t="s">
        <v>245</v>
      </c>
      <c r="B91" s="128">
        <v>1</v>
      </c>
      <c r="C91" s="128">
        <v>1</v>
      </c>
      <c r="D91" s="108">
        <f>IFERROR(VLOOKUP(A91,[1]!TablaTransporte[#Data],2,FALSE),0)</f>
        <v>1350000</v>
      </c>
      <c r="E91" s="128">
        <f>C91*D91</f>
        <v>1350000</v>
      </c>
      <c r="F91" s="284"/>
    </row>
    <row r="92" spans="1:6" x14ac:dyDescent="0.35">
      <c r="A92" s="130" t="s">
        <v>280</v>
      </c>
      <c r="B92" s="128"/>
      <c r="C92" s="128"/>
      <c r="D92" s="128">
        <f>IFERROR(VLOOKUP(A92,[1]!TablaTransporte[#Data],2,FALSE),0)</f>
        <v>1330000</v>
      </c>
      <c r="E92" s="128">
        <f>C92*D92</f>
        <v>0</v>
      </c>
      <c r="F92" s="284"/>
    </row>
    <row r="93" spans="1:6" ht="15.5" x14ac:dyDescent="0.35">
      <c r="A93" s="122" t="s">
        <v>281</v>
      </c>
      <c r="B93" s="128">
        <v>1</v>
      </c>
      <c r="C93" s="128">
        <v>2</v>
      </c>
      <c r="D93" s="128">
        <f>IFERROR(VLOOKUP(A93,[1]!TablaTransporte[#Data],2,FALSE),0)</f>
        <v>840000</v>
      </c>
      <c r="E93" s="128">
        <f>B93*C93*D93</f>
        <v>1680000</v>
      </c>
      <c r="F93" s="284"/>
    </row>
    <row r="94" spans="1:6" ht="15.5" x14ac:dyDescent="0.35">
      <c r="A94" s="133" t="s">
        <v>282</v>
      </c>
      <c r="B94" s="128">
        <v>1</v>
      </c>
      <c r="C94" s="128">
        <v>2</v>
      </c>
      <c r="D94" s="128">
        <f>IFERROR(VLOOKUP(A94,[1]!TablaTransporte[#Data],2,FALSE),0)</f>
        <v>1820000</v>
      </c>
      <c r="E94" s="128">
        <f>B94*C94*D94</f>
        <v>3640000</v>
      </c>
      <c r="F94" s="284"/>
    </row>
    <row r="95" spans="1:6" ht="15.5" x14ac:dyDescent="0.35">
      <c r="A95" s="122" t="s">
        <v>283</v>
      </c>
      <c r="B95" s="128">
        <v>1</v>
      </c>
      <c r="C95" s="128">
        <v>2</v>
      </c>
      <c r="D95" s="108">
        <f>IFERROR(VLOOKUP(A95,[1]!TablaTransporte[#Data],2,FALSE),0)</f>
        <v>1500000</v>
      </c>
      <c r="E95" s="128">
        <f>B95*C95*D95</f>
        <v>3000000</v>
      </c>
      <c r="F95" s="284"/>
    </row>
    <row r="96" spans="1:6" ht="15.5" x14ac:dyDescent="0.35">
      <c r="A96" s="122" t="s">
        <v>296</v>
      </c>
      <c r="B96" s="128">
        <v>1</v>
      </c>
      <c r="C96" s="128">
        <v>2</v>
      </c>
      <c r="D96" s="128">
        <f>IFERROR(VLOOKUP(A96,[1]!TablaTransporte[#Data],2,FALSE),0)</f>
        <v>1650000</v>
      </c>
      <c r="E96" s="128">
        <f>B96*C96*D96</f>
        <v>3300000</v>
      </c>
      <c r="F96" s="284"/>
    </row>
    <row r="97" spans="1:6" x14ac:dyDescent="0.35">
      <c r="A97" s="130" t="s">
        <v>381</v>
      </c>
      <c r="B97" s="128">
        <v>1</v>
      </c>
      <c r="C97" s="128">
        <v>2</v>
      </c>
      <c r="D97" s="128">
        <f>IFERROR(VLOOKUP(A97,[1]!TablaTransporte[#Data],2,FALSE),0)</f>
        <v>600000</v>
      </c>
      <c r="E97" s="128">
        <f>B97*C97*D97</f>
        <v>1200000</v>
      </c>
      <c r="F97" s="284"/>
    </row>
    <row r="98" spans="1:6" x14ac:dyDescent="0.35">
      <c r="A98" s="130"/>
      <c r="B98" s="128"/>
      <c r="C98" s="128"/>
      <c r="D98" s="128">
        <f>IFERROR(VLOOKUP(A98,[1]!TablaTransporte[#Data],2,FALSE),0)</f>
        <v>0</v>
      </c>
      <c r="E98" s="128"/>
      <c r="F98" s="285"/>
    </row>
    <row r="99" spans="1:6" x14ac:dyDescent="0.35">
      <c r="A99" s="319"/>
      <c r="B99" s="320"/>
      <c r="C99" s="320"/>
      <c r="D99" s="320"/>
      <c r="E99" s="321"/>
      <c r="F99" s="42">
        <f>SUM(E87:E98)</f>
        <v>14170000</v>
      </c>
    </row>
    <row r="100" spans="1:6" ht="15" thickBot="1" x14ac:dyDescent="0.4">
      <c r="A100" s="322"/>
      <c r="B100" s="292"/>
      <c r="C100" s="292"/>
      <c r="D100" s="292"/>
      <c r="E100" s="323"/>
      <c r="F100" s="42">
        <f>F38+F75+F85+F99</f>
        <v>21880109.313966665</v>
      </c>
    </row>
    <row r="101" spans="1:6" ht="15" thickBot="1" x14ac:dyDescent="0.4">
      <c r="A101" s="302"/>
      <c r="B101" s="300"/>
      <c r="C101" s="300"/>
      <c r="D101" s="300"/>
      <c r="E101" s="301"/>
      <c r="F101" s="44">
        <f>F100*A101</f>
        <v>0</v>
      </c>
    </row>
    <row r="102" spans="1:6" ht="15" thickBot="1" x14ac:dyDescent="0.4">
      <c r="A102" s="286"/>
      <c r="B102" s="286"/>
      <c r="C102" s="286"/>
      <c r="D102" s="286"/>
      <c r="E102" s="286"/>
      <c r="F102" s="28">
        <f>F100+F101</f>
        <v>21880109.313966665</v>
      </c>
    </row>
    <row r="103" spans="1:6" ht="15" thickBot="1" x14ac:dyDescent="0.4">
      <c r="A103" s="317"/>
      <c r="B103" s="306"/>
      <c r="C103" s="306"/>
      <c r="D103" s="306"/>
      <c r="E103" s="282"/>
      <c r="F103" s="28">
        <f>F102*A103</f>
        <v>0</v>
      </c>
    </row>
    <row r="104" spans="1:6" x14ac:dyDescent="0.35">
      <c r="F104" s="80">
        <f>F102+F103</f>
        <v>21880109.313966665</v>
      </c>
    </row>
    <row r="105" spans="1:6" x14ac:dyDescent="0.35">
      <c r="F105" s="176">
        <f>F104/F3</f>
        <v>2188010.9313966664</v>
      </c>
    </row>
  </sheetData>
  <mergeCells count="13">
    <mergeCell ref="F76:F84"/>
    <mergeCell ref="A85:E85"/>
    <mergeCell ref="F87:F98"/>
    <mergeCell ref="A99:E99"/>
    <mergeCell ref="A1:F1"/>
    <mergeCell ref="F4:F37"/>
    <mergeCell ref="A38:E38"/>
    <mergeCell ref="F39:F74"/>
    <mergeCell ref="A100:E100"/>
    <mergeCell ref="A101:E101"/>
    <mergeCell ref="A102:E102"/>
    <mergeCell ref="A103:E103"/>
    <mergeCell ref="A75:E75"/>
  </mergeCells>
  <dataValidations count="3">
    <dataValidation type="list" allowBlank="1" showInputMessage="1" showErrorMessage="1" sqref="A40:A75" xr:uid="{F453E312-3F1D-455A-8DB7-822A08ADB80D}">
      <formula1>ListaMateriales</formula1>
    </dataValidation>
    <dataValidation type="list" allowBlank="1" showInputMessage="1" showErrorMessage="1" sqref="A3:A38" xr:uid="{26494CD7-F9FD-4A78-AEF0-8601687F3B56}">
      <formula1>ListaEquipos</formula1>
    </dataValidation>
    <dataValidation type="list" allowBlank="1" showInputMessage="1" showErrorMessage="1" sqref="A88:A98" xr:uid="{7335DF17-A6CA-4A2D-8AA6-5A029FC9D3CD}">
      <formula1>ListaTransporte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D4390-A8EB-456A-8CA6-948DDCA87CA0}">
  <dimension ref="A1:L79"/>
  <sheetViews>
    <sheetView workbookViewId="0">
      <selection activeCell="I4" sqref="H4:I4"/>
    </sheetView>
  </sheetViews>
  <sheetFormatPr baseColWidth="10" defaultRowHeight="14.5" x14ac:dyDescent="0.35"/>
  <cols>
    <col min="1" max="1" width="22.90625" bestFit="1" customWidth="1"/>
    <col min="2" max="2" width="6" bestFit="1" customWidth="1"/>
    <col min="3" max="3" width="9.6328125" bestFit="1" customWidth="1"/>
    <col min="4" max="4" width="10.36328125" bestFit="1" customWidth="1"/>
    <col min="5" max="5" width="11.36328125" bestFit="1" customWidth="1"/>
    <col min="6" max="6" width="13.6328125" bestFit="1" customWidth="1"/>
  </cols>
  <sheetData>
    <row r="1" spans="1:12" x14ac:dyDescent="0.35">
      <c r="A1" s="306" t="s">
        <v>186</v>
      </c>
      <c r="B1" s="306"/>
      <c r="C1" s="306"/>
      <c r="D1" s="306"/>
      <c r="E1" s="306"/>
      <c r="F1" s="307"/>
    </row>
    <row r="2" spans="1:12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161</v>
      </c>
    </row>
    <row r="3" spans="1:12" x14ac:dyDescent="0.35">
      <c r="A3" s="33"/>
      <c r="B3" s="34"/>
      <c r="C3" s="45"/>
      <c r="D3" s="46"/>
      <c r="E3" s="37"/>
      <c r="F3" s="77" t="s">
        <v>5</v>
      </c>
      <c r="H3" s="162"/>
      <c r="I3" s="162"/>
      <c r="J3" s="162"/>
      <c r="K3" s="162"/>
      <c r="L3" s="162"/>
    </row>
    <row r="4" spans="1:12" x14ac:dyDescent="0.35">
      <c r="A4" s="208" t="s">
        <v>225</v>
      </c>
      <c r="B4" s="208">
        <v>2</v>
      </c>
      <c r="C4" s="208">
        <v>15</v>
      </c>
      <c r="D4" s="211">
        <f>IFERROR(VLOOKUP(A4,[1]!TablaEquipos[#Data],3,FALSE),0)</f>
        <v>1875</v>
      </c>
      <c r="E4" s="211">
        <f t="shared" ref="E4:E24" si="0">B4*C4*D4</f>
        <v>56250</v>
      </c>
      <c r="F4" s="77">
        <v>3</v>
      </c>
      <c r="H4" s="162"/>
      <c r="I4" s="162"/>
      <c r="J4" s="162"/>
      <c r="K4" s="162"/>
      <c r="L4" s="162"/>
    </row>
    <row r="5" spans="1:12" x14ac:dyDescent="0.35">
      <c r="A5" s="208" t="s">
        <v>300</v>
      </c>
      <c r="B5" s="208">
        <v>1</v>
      </c>
      <c r="C5" s="208">
        <v>15</v>
      </c>
      <c r="D5" s="211">
        <f>IFERROR(VLOOKUP(A5,[1]!TablaEquipos[#Data],3,FALSE),0)</f>
        <v>875</v>
      </c>
      <c r="E5" s="211">
        <f t="shared" si="0"/>
        <v>13125</v>
      </c>
      <c r="F5" s="62"/>
      <c r="H5" s="162"/>
      <c r="I5" s="162"/>
      <c r="J5" s="162"/>
      <c r="K5" s="162"/>
      <c r="L5" s="162"/>
    </row>
    <row r="6" spans="1:12" x14ac:dyDescent="0.35">
      <c r="A6" s="208" t="s">
        <v>226</v>
      </c>
      <c r="B6" s="208">
        <v>2</v>
      </c>
      <c r="C6" s="208">
        <v>15</v>
      </c>
      <c r="D6" s="211">
        <f>IFERROR(VLOOKUP(A6,[1]!TablaEquipos[#Data],3,FALSE),0)</f>
        <v>875</v>
      </c>
      <c r="E6" s="211">
        <f t="shared" si="0"/>
        <v>26250</v>
      </c>
      <c r="F6" s="62"/>
      <c r="H6" s="162"/>
      <c r="I6" s="162"/>
      <c r="J6" s="162"/>
      <c r="K6" s="162"/>
      <c r="L6" s="162"/>
    </row>
    <row r="7" spans="1:12" x14ac:dyDescent="0.35">
      <c r="A7" s="208" t="s">
        <v>227</v>
      </c>
      <c r="B7" s="208">
        <v>8</v>
      </c>
      <c r="C7" s="208">
        <v>15</v>
      </c>
      <c r="D7" s="211">
        <f>IFERROR(VLOOKUP(A7,[1]!TablaEquipos[#Data],3,FALSE),0)</f>
        <v>875</v>
      </c>
      <c r="E7" s="211">
        <f t="shared" si="0"/>
        <v>105000</v>
      </c>
      <c r="F7" s="62"/>
      <c r="H7" s="162"/>
      <c r="I7" s="162"/>
      <c r="J7" s="162"/>
      <c r="K7" s="162"/>
      <c r="L7" s="162"/>
    </row>
    <row r="8" spans="1:12" x14ac:dyDescent="0.35">
      <c r="A8" s="208" t="s">
        <v>251</v>
      </c>
      <c r="B8" s="208">
        <v>4</v>
      </c>
      <c r="C8" s="208">
        <v>15</v>
      </c>
      <c r="D8" s="211">
        <f>IFERROR(VLOOKUP(A8,[1]!TablaEquipos[#Data],3,FALSE),0)</f>
        <v>875</v>
      </c>
      <c r="E8" s="211">
        <f t="shared" si="0"/>
        <v>52500</v>
      </c>
      <c r="F8" s="62"/>
      <c r="H8" s="162"/>
      <c r="I8" s="162"/>
      <c r="J8" s="162"/>
      <c r="K8" s="162"/>
      <c r="L8" s="162"/>
    </row>
    <row r="9" spans="1:12" x14ac:dyDescent="0.35">
      <c r="A9" s="208" t="s">
        <v>252</v>
      </c>
      <c r="B9" s="208">
        <v>4</v>
      </c>
      <c r="C9" s="208">
        <v>15</v>
      </c>
      <c r="D9" s="211">
        <f>IFERROR(VLOOKUP(A9,[1]!TablaEquipos[#Data],3,FALSE),0)</f>
        <v>875</v>
      </c>
      <c r="E9" s="211">
        <f t="shared" si="0"/>
        <v>52500</v>
      </c>
      <c r="F9" s="62"/>
      <c r="H9" s="162"/>
      <c r="I9" s="162"/>
      <c r="J9" s="162"/>
      <c r="K9" s="162"/>
      <c r="L9" s="162"/>
    </row>
    <row r="10" spans="1:12" x14ac:dyDescent="0.35">
      <c r="A10" s="208" t="s">
        <v>231</v>
      </c>
      <c r="B10" s="208">
        <v>1</v>
      </c>
      <c r="C10" s="208">
        <v>15</v>
      </c>
      <c r="D10" s="211">
        <f>IFERROR(VLOOKUP(A10,[1]!TablaEquipos[#Data],3,FALSE),0)</f>
        <v>1875</v>
      </c>
      <c r="E10" s="211">
        <f t="shared" si="0"/>
        <v>28125</v>
      </c>
      <c r="F10" s="62"/>
      <c r="H10" s="162"/>
      <c r="I10" s="162"/>
      <c r="J10" s="162"/>
      <c r="K10" s="162"/>
      <c r="L10" s="162"/>
    </row>
    <row r="11" spans="1:12" x14ac:dyDescent="0.35">
      <c r="A11" s="208" t="s">
        <v>228</v>
      </c>
      <c r="B11" s="208">
        <v>1</v>
      </c>
      <c r="C11" s="208">
        <v>15</v>
      </c>
      <c r="D11" s="211">
        <f>IFERROR(VLOOKUP(A11,[1]!TablaEquipos[#Data],3,FALSE),0)</f>
        <v>1875</v>
      </c>
      <c r="E11" s="211">
        <f t="shared" si="0"/>
        <v>28125</v>
      </c>
      <c r="F11" s="62"/>
      <c r="H11" s="162"/>
      <c r="I11" s="162"/>
      <c r="J11" s="162"/>
      <c r="K11" s="162"/>
      <c r="L11" s="162"/>
    </row>
    <row r="12" spans="1:12" x14ac:dyDescent="0.35">
      <c r="A12" s="208" t="s">
        <v>224</v>
      </c>
      <c r="B12" s="208">
        <v>1</v>
      </c>
      <c r="C12" s="208">
        <v>15</v>
      </c>
      <c r="D12" s="211">
        <f>IFERROR(VLOOKUP(A12,[1]!TablaEquipos[#Data],3,FALSE),0)</f>
        <v>1875</v>
      </c>
      <c r="E12" s="211">
        <f t="shared" si="0"/>
        <v>28125</v>
      </c>
      <c r="F12" s="62"/>
      <c r="H12" s="162"/>
      <c r="I12" s="162"/>
      <c r="J12" s="162"/>
      <c r="K12" s="162"/>
      <c r="L12" s="162"/>
    </row>
    <row r="13" spans="1:12" x14ac:dyDescent="0.35">
      <c r="A13" s="208" t="s">
        <v>230</v>
      </c>
      <c r="B13" s="208">
        <v>1</v>
      </c>
      <c r="C13" s="208">
        <v>15</v>
      </c>
      <c r="D13" s="211">
        <f>IFERROR(VLOOKUP(A13,[1]!TablaEquipos[#Data],3,FALSE),0)</f>
        <v>18750</v>
      </c>
      <c r="E13" s="211">
        <f t="shared" si="0"/>
        <v>281250</v>
      </c>
      <c r="F13" s="62"/>
      <c r="H13" s="162"/>
      <c r="I13" s="162"/>
      <c r="J13" s="162"/>
      <c r="K13" s="162"/>
      <c r="L13" s="162"/>
    </row>
    <row r="14" spans="1:12" x14ac:dyDescent="0.35">
      <c r="A14" s="208" t="s">
        <v>232</v>
      </c>
      <c r="B14" s="208">
        <v>1</v>
      </c>
      <c r="C14" s="208">
        <v>15</v>
      </c>
      <c r="D14" s="211">
        <f>IFERROR(VLOOKUP(A14,[1]!TablaEquipos[#Data],3,FALSE),0)</f>
        <v>625</v>
      </c>
      <c r="E14" s="211">
        <f t="shared" si="0"/>
        <v>9375</v>
      </c>
      <c r="F14" s="62"/>
      <c r="H14" s="162"/>
      <c r="I14" s="162"/>
      <c r="J14" s="162"/>
      <c r="K14" s="162"/>
      <c r="L14" s="162"/>
    </row>
    <row r="15" spans="1:12" x14ac:dyDescent="0.35">
      <c r="A15" s="208" t="s">
        <v>233</v>
      </c>
      <c r="B15" s="208">
        <v>1</v>
      </c>
      <c r="C15" s="208">
        <v>15</v>
      </c>
      <c r="D15" s="211">
        <f>IFERROR(VLOOKUP(A15,[1]!TablaEquipos[#Data],3,FALSE),0)</f>
        <v>625</v>
      </c>
      <c r="E15" s="211">
        <f t="shared" si="0"/>
        <v>9375</v>
      </c>
      <c r="F15" s="62"/>
      <c r="H15" s="162"/>
      <c r="I15" s="162"/>
      <c r="J15" s="162"/>
      <c r="K15" s="162"/>
      <c r="L15" s="162"/>
    </row>
    <row r="16" spans="1:12" x14ac:dyDescent="0.35">
      <c r="A16" s="208" t="s">
        <v>237</v>
      </c>
      <c r="B16" s="208">
        <v>1</v>
      </c>
      <c r="C16" s="208">
        <v>15</v>
      </c>
      <c r="D16" s="211">
        <f>IFERROR(VLOOKUP(A16,[1]!TablaEquipos[#Data],3,FALSE),0)</f>
        <v>1250</v>
      </c>
      <c r="E16" s="211">
        <f t="shared" si="0"/>
        <v>18750</v>
      </c>
      <c r="F16" s="62"/>
      <c r="H16" s="162"/>
      <c r="I16" s="162"/>
      <c r="J16" s="162"/>
      <c r="K16" s="162"/>
      <c r="L16" s="162"/>
    </row>
    <row r="17" spans="1:12" x14ac:dyDescent="0.35">
      <c r="A17" s="208" t="s">
        <v>229</v>
      </c>
      <c r="B17" s="208">
        <v>4</v>
      </c>
      <c r="C17" s="208">
        <v>15</v>
      </c>
      <c r="D17" s="211">
        <f>IFERROR(VLOOKUP(A17,[1]!TablaEquipos[#Data],3,FALSE),0)</f>
        <v>1875</v>
      </c>
      <c r="E17" s="211">
        <f t="shared" si="0"/>
        <v>112500</v>
      </c>
      <c r="F17" s="62"/>
      <c r="H17" s="162"/>
      <c r="I17" s="162"/>
      <c r="J17" s="162"/>
      <c r="K17" s="162"/>
      <c r="L17" s="162"/>
    </row>
    <row r="18" spans="1:12" ht="29" x14ac:dyDescent="0.35">
      <c r="A18" s="208" t="s">
        <v>250</v>
      </c>
      <c r="B18" s="208">
        <v>1</v>
      </c>
      <c r="C18" s="208">
        <v>15</v>
      </c>
      <c r="D18" s="211">
        <f>IFERROR(VLOOKUP(A18,[1]!TablaEquipos[#Data],3,FALSE),0)</f>
        <v>75000</v>
      </c>
      <c r="E18" s="211">
        <f t="shared" si="0"/>
        <v>1125000</v>
      </c>
      <c r="F18" s="62"/>
      <c r="H18" s="162"/>
      <c r="I18" s="162"/>
      <c r="J18" s="162"/>
      <c r="K18" s="162"/>
      <c r="L18" s="162"/>
    </row>
    <row r="19" spans="1:12" x14ac:dyDescent="0.35">
      <c r="A19" s="208" t="s">
        <v>301</v>
      </c>
      <c r="B19" s="208">
        <v>2</v>
      </c>
      <c r="C19" s="208">
        <v>15</v>
      </c>
      <c r="D19" s="211">
        <f>IFERROR(VLOOKUP(A19,[1]!TablaEquipos[#Data],3,FALSE),0)</f>
        <v>625</v>
      </c>
      <c r="E19" s="211">
        <f t="shared" si="0"/>
        <v>18750</v>
      </c>
      <c r="F19" s="62"/>
      <c r="H19" s="162"/>
      <c r="I19" s="162"/>
      <c r="J19" s="162"/>
      <c r="K19" s="162"/>
      <c r="L19" s="162"/>
    </row>
    <row r="20" spans="1:12" x14ac:dyDescent="0.35">
      <c r="A20" s="208" t="s">
        <v>242</v>
      </c>
      <c r="B20" s="208">
        <v>10</v>
      </c>
      <c r="C20" s="208">
        <v>15</v>
      </c>
      <c r="D20" s="211">
        <f>IFERROR(VLOOKUP(A20,[1]!TablaEquipos[#Data],3,FALSE),0)</f>
        <v>1250</v>
      </c>
      <c r="E20" s="211">
        <f t="shared" si="0"/>
        <v>187500</v>
      </c>
      <c r="F20" s="62"/>
      <c r="H20" s="163"/>
      <c r="I20" s="163"/>
      <c r="J20" s="163"/>
      <c r="K20" s="162"/>
      <c r="L20" s="162"/>
    </row>
    <row r="21" spans="1:12" x14ac:dyDescent="0.35">
      <c r="A21" s="208" t="s">
        <v>302</v>
      </c>
      <c r="B21" s="208">
        <v>1</v>
      </c>
      <c r="C21" s="208">
        <v>15</v>
      </c>
      <c r="D21" s="211">
        <f>IFERROR(VLOOKUP(A21,[1]!TablaEquipos[#Data],3,FALSE),0)</f>
        <v>37500</v>
      </c>
      <c r="E21" s="211">
        <f t="shared" si="0"/>
        <v>562500</v>
      </c>
      <c r="F21" s="62"/>
      <c r="H21" s="163"/>
      <c r="I21" s="163"/>
      <c r="J21" s="163"/>
      <c r="K21" s="162"/>
      <c r="L21" s="162"/>
    </row>
    <row r="22" spans="1:12" ht="29" x14ac:dyDescent="0.35">
      <c r="A22" s="208" t="s">
        <v>244</v>
      </c>
      <c r="B22" s="208">
        <v>1</v>
      </c>
      <c r="C22" s="208">
        <v>5</v>
      </c>
      <c r="D22" s="211">
        <f>IFERROR(VLOOKUP(A22,[1]!TablaEquipos[#Data],3,FALSE),0)</f>
        <v>237500</v>
      </c>
      <c r="E22" s="211">
        <f t="shared" si="0"/>
        <v>1187500</v>
      </c>
      <c r="F22" s="62"/>
      <c r="H22" s="163"/>
      <c r="I22" s="163"/>
    </row>
    <row r="23" spans="1:12" ht="29" x14ac:dyDescent="0.35">
      <c r="A23" s="208" t="s">
        <v>249</v>
      </c>
      <c r="B23" s="208">
        <v>1</v>
      </c>
      <c r="C23" s="208">
        <v>15</v>
      </c>
      <c r="D23" s="211">
        <f>IFERROR(VLOOKUP(A23,[1]!TablaEquipos[#Data],3,FALSE),0)</f>
        <v>50000</v>
      </c>
      <c r="E23" s="211">
        <f>B23*C23*D23</f>
        <v>750000</v>
      </c>
      <c r="F23" s="62"/>
    </row>
    <row r="24" spans="1:12" x14ac:dyDescent="0.35">
      <c r="A24" s="208" t="s">
        <v>451</v>
      </c>
      <c r="B24" s="123">
        <v>4</v>
      </c>
      <c r="C24" s="208">
        <v>15</v>
      </c>
      <c r="D24" s="211">
        <f>IFERROR(VLOOKUP(A24,[1]!TablaEquipos[#Data],3,FALSE),0)</f>
        <v>875</v>
      </c>
      <c r="E24" s="211">
        <f t="shared" si="0"/>
        <v>52500</v>
      </c>
      <c r="F24" s="62"/>
    </row>
    <row r="25" spans="1:12" x14ac:dyDescent="0.35">
      <c r="A25" s="208" t="s">
        <v>337</v>
      </c>
      <c r="B25" s="123">
        <v>12</v>
      </c>
      <c r="C25" s="208">
        <v>15</v>
      </c>
      <c r="D25" s="211">
        <f>IFERROR(VLOOKUP(A25,[1]!TablaEquipos[#Data],3,FALSE),0)</f>
        <v>625</v>
      </c>
      <c r="E25" s="27">
        <f t="shared" ref="E25:E31" si="1">B25*C25*D25</f>
        <v>112500</v>
      </c>
      <c r="F25" s="62"/>
    </row>
    <row r="26" spans="1:12" x14ac:dyDescent="0.35">
      <c r="A26" s="208" t="s">
        <v>326</v>
      </c>
      <c r="B26" s="123">
        <v>2</v>
      </c>
      <c r="C26" s="123">
        <v>15</v>
      </c>
      <c r="D26" s="211">
        <f>IFERROR(VLOOKUP(A26,[1]!TablaEquipos[#Data],3,FALSE),0)</f>
        <v>1875</v>
      </c>
      <c r="E26" s="27">
        <f t="shared" si="1"/>
        <v>56250</v>
      </c>
      <c r="F26" s="62"/>
    </row>
    <row r="27" spans="1:12" x14ac:dyDescent="0.35">
      <c r="A27" s="208" t="s">
        <v>339</v>
      </c>
      <c r="B27" s="123">
        <v>1</v>
      </c>
      <c r="C27" s="123">
        <v>15</v>
      </c>
      <c r="D27" s="211">
        <f>IFERROR(VLOOKUP(A27,[1]!TablaEquipos[#Data],3,FALSE),0)</f>
        <v>50000</v>
      </c>
      <c r="E27" s="27">
        <f>B27*C27*D27</f>
        <v>750000</v>
      </c>
      <c r="F27" s="62"/>
    </row>
    <row r="28" spans="1:12" x14ac:dyDescent="0.35">
      <c r="A28" s="208" t="s">
        <v>454</v>
      </c>
      <c r="B28" s="123">
        <v>2</v>
      </c>
      <c r="C28" s="123">
        <v>1</v>
      </c>
      <c r="D28" s="211">
        <f>IFERROR(VLOOKUP(A28,[1]!TablaEquipos[#Data],3,FALSE),0)</f>
        <v>0</v>
      </c>
      <c r="E28" s="27">
        <f>B28*C28*D28</f>
        <v>0</v>
      </c>
      <c r="F28" s="62"/>
    </row>
    <row r="29" spans="1:12" x14ac:dyDescent="0.35">
      <c r="A29" s="208" t="s">
        <v>453</v>
      </c>
      <c r="B29" s="123">
        <v>4</v>
      </c>
      <c r="C29" s="123">
        <v>1</v>
      </c>
      <c r="D29" s="211">
        <f>IFERROR(VLOOKUP(A29,[1]!TablaEquipos[#Data],3,FALSE),0)</f>
        <v>0</v>
      </c>
      <c r="E29" s="27">
        <f>B29*C29*D29</f>
        <v>0</v>
      </c>
      <c r="F29" s="62"/>
    </row>
    <row r="30" spans="1:12" x14ac:dyDescent="0.35">
      <c r="A30" s="208" t="s">
        <v>443</v>
      </c>
      <c r="B30" s="123">
        <v>1</v>
      </c>
      <c r="C30" s="123">
        <v>15</v>
      </c>
      <c r="D30" s="211">
        <f>IFERROR(VLOOKUP(A30,[1]!TablaEquipos[#Data],3,FALSE),0)</f>
        <v>6250</v>
      </c>
      <c r="E30" s="27">
        <f t="shared" si="1"/>
        <v>93750</v>
      </c>
      <c r="F30" s="62"/>
    </row>
    <row r="31" spans="1:12" x14ac:dyDescent="0.35">
      <c r="A31" s="208" t="s">
        <v>317</v>
      </c>
      <c r="B31" s="123">
        <v>1</v>
      </c>
      <c r="C31" s="123">
        <v>15</v>
      </c>
      <c r="D31" s="211">
        <f>IFERROR(VLOOKUP(A31,[1]!TablaEquipos[#Data],3,FALSE),0)</f>
        <v>34375</v>
      </c>
      <c r="E31" s="27">
        <f t="shared" si="1"/>
        <v>515625</v>
      </c>
      <c r="F31" s="62"/>
    </row>
    <row r="32" spans="1:12" ht="15" thickBot="1" x14ac:dyDescent="0.4">
      <c r="A32" s="294"/>
      <c r="B32" s="295"/>
      <c r="C32" s="295"/>
      <c r="D32" s="295"/>
      <c r="E32" s="295"/>
      <c r="F32" s="84">
        <f>SUM(E4:E31)</f>
        <v>6233125</v>
      </c>
    </row>
    <row r="33" spans="1:6" x14ac:dyDescent="0.35">
      <c r="A33" s="33" t="s">
        <v>270</v>
      </c>
      <c r="B33" s="34" t="s">
        <v>83</v>
      </c>
      <c r="C33" s="45" t="s">
        <v>84</v>
      </c>
      <c r="D33" s="46" t="s">
        <v>269</v>
      </c>
      <c r="E33" s="37" t="s">
        <v>86</v>
      </c>
      <c r="F33" s="116"/>
    </row>
    <row r="34" spans="1:6" ht="26" x14ac:dyDescent="0.35">
      <c r="A34" s="209" t="s">
        <v>304</v>
      </c>
      <c r="B34" s="209">
        <v>6</v>
      </c>
      <c r="C34" s="209"/>
      <c r="D34" s="210">
        <f>IFERROR(VLOOKUP(A34,[1]!TablaMateriales[#Data],2,FALSE),0)</f>
        <v>1460026</v>
      </c>
      <c r="E34" s="27">
        <f t="shared" ref="E34:E43" si="2">B34*D34</f>
        <v>8760156</v>
      </c>
      <c r="F34" s="157"/>
    </row>
    <row r="35" spans="1:6" ht="39" x14ac:dyDescent="0.35">
      <c r="A35" s="209" t="s">
        <v>305</v>
      </c>
      <c r="B35" s="209">
        <v>13</v>
      </c>
      <c r="C35" s="209"/>
      <c r="D35" s="210">
        <f>IFERROR(VLOOKUP(A35,[1]!TablaMateriales[#Data],2,FALSE),0)</f>
        <v>620000</v>
      </c>
      <c r="E35" s="27">
        <f t="shared" si="2"/>
        <v>8060000</v>
      </c>
      <c r="F35" s="157"/>
    </row>
    <row r="36" spans="1:6" ht="26" x14ac:dyDescent="0.35">
      <c r="A36" s="209" t="s">
        <v>306</v>
      </c>
      <c r="B36" s="209">
        <v>1</v>
      </c>
      <c r="C36" s="209"/>
      <c r="D36" s="210">
        <f>IFERROR(VLOOKUP(A36,[1]!TablaMateriales[#Data],2,FALSE),0)</f>
        <v>464823</v>
      </c>
      <c r="E36" s="27">
        <f t="shared" si="2"/>
        <v>464823</v>
      </c>
      <c r="F36" s="157"/>
    </row>
    <row r="37" spans="1:6" ht="26" x14ac:dyDescent="0.35">
      <c r="A37" s="209" t="s">
        <v>307</v>
      </c>
      <c r="B37" s="209">
        <v>1180</v>
      </c>
      <c r="C37" s="209"/>
      <c r="D37" s="210">
        <f>IFERROR(VLOOKUP(A37,[1]!TablaMateriales[#Data],2,FALSE),0)</f>
        <v>4341</v>
      </c>
      <c r="E37" s="27">
        <f t="shared" si="2"/>
        <v>5122380</v>
      </c>
      <c r="F37" s="157"/>
    </row>
    <row r="38" spans="1:6" x14ac:dyDescent="0.35">
      <c r="A38" s="209"/>
      <c r="B38" s="209"/>
      <c r="C38" s="209"/>
      <c r="D38" s="210"/>
      <c r="E38" s="27"/>
      <c r="F38" s="157"/>
    </row>
    <row r="39" spans="1:6" ht="26" x14ac:dyDescent="0.35">
      <c r="A39" s="209" t="s">
        <v>309</v>
      </c>
      <c r="B39" s="209">
        <v>22</v>
      </c>
      <c r="C39" s="209"/>
      <c r="D39" s="210">
        <f>IFERROR(VLOOKUP(A39,[1]!TablaMateriales[#Data],2,FALSE),0)</f>
        <v>56327</v>
      </c>
      <c r="E39" s="27">
        <f t="shared" si="2"/>
        <v>1239194</v>
      </c>
      <c r="F39" s="157"/>
    </row>
    <row r="40" spans="1:6" x14ac:dyDescent="0.35">
      <c r="A40" s="209" t="s">
        <v>253</v>
      </c>
      <c r="B40" s="209">
        <v>30</v>
      </c>
      <c r="C40" s="209"/>
      <c r="D40" s="210">
        <f>IFERROR(VLOOKUP(A40,[1]!TablaMateriales[#Data],2,FALSE),0)</f>
        <v>35000</v>
      </c>
      <c r="E40" s="27">
        <f t="shared" si="2"/>
        <v>1050000</v>
      </c>
      <c r="F40" s="157"/>
    </row>
    <row r="41" spans="1:6" x14ac:dyDescent="0.35">
      <c r="A41" s="209" t="s">
        <v>254</v>
      </c>
      <c r="B41" s="209">
        <v>15</v>
      </c>
      <c r="C41" s="209"/>
      <c r="D41" s="210">
        <f>IFERROR(VLOOKUP(A41,[1]!TablaMateriales[#Data],2,FALSE),0)</f>
        <v>20000</v>
      </c>
      <c r="E41" s="27">
        <f t="shared" si="2"/>
        <v>300000</v>
      </c>
      <c r="F41" s="157"/>
    </row>
    <row r="42" spans="1:6" x14ac:dyDescent="0.35">
      <c r="A42" s="209" t="s">
        <v>257</v>
      </c>
      <c r="B42" s="209">
        <v>5</v>
      </c>
      <c r="C42" s="209"/>
      <c r="D42" s="210">
        <f>IFERROR(VLOOKUP(A42,[1]!TablaMateriales[#Data],2,FALSE),0)</f>
        <v>9500</v>
      </c>
      <c r="E42" s="27">
        <f t="shared" si="2"/>
        <v>47500</v>
      </c>
      <c r="F42" s="157"/>
    </row>
    <row r="43" spans="1:6" x14ac:dyDescent="0.35">
      <c r="A43" s="209" t="s">
        <v>258</v>
      </c>
      <c r="B43" s="209">
        <v>5</v>
      </c>
      <c r="C43" s="209"/>
      <c r="D43" s="210">
        <f>IFERROR(VLOOKUP(A43,[1]!TablaMateriales[#Data],2,FALSE),0)</f>
        <v>9500</v>
      </c>
      <c r="E43" s="27">
        <f t="shared" si="2"/>
        <v>47500</v>
      </c>
      <c r="F43" s="157"/>
    </row>
    <row r="44" spans="1:6" x14ac:dyDescent="0.35">
      <c r="A44" s="209" t="s">
        <v>349</v>
      </c>
      <c r="B44" s="78">
        <v>70</v>
      </c>
      <c r="C44" s="23"/>
      <c r="D44" s="27">
        <f>IFERROR(VLOOKUP(A44,[1]!TablaMateriales[#Data],2,FALSE),0)</f>
        <v>30000</v>
      </c>
      <c r="E44" s="27">
        <f t="shared" ref="E44:E51" si="3">B44*D44</f>
        <v>2100000</v>
      </c>
      <c r="F44" s="157"/>
    </row>
    <row r="45" spans="1:6" x14ac:dyDescent="0.35">
      <c r="A45" s="209" t="s">
        <v>308</v>
      </c>
      <c r="B45" s="78">
        <v>13</v>
      </c>
      <c r="C45" s="23"/>
      <c r="D45" s="27">
        <f>IFERROR(VLOOKUP(A45,[1]!TablaMateriales[#Data],2,FALSE),0)</f>
        <v>7592</v>
      </c>
      <c r="E45" s="27">
        <f t="shared" si="3"/>
        <v>98696</v>
      </c>
      <c r="F45" s="157"/>
    </row>
    <row r="46" spans="1:6" x14ac:dyDescent="0.35">
      <c r="A46" s="209" t="s">
        <v>410</v>
      </c>
      <c r="B46" s="78">
        <v>24</v>
      </c>
      <c r="C46" s="23"/>
      <c r="D46" s="27">
        <f>IFERROR(VLOOKUP(A46,[1]!TablaMateriales[#Data],2,FALSE),0)</f>
        <v>76500</v>
      </c>
      <c r="E46" s="27">
        <f t="shared" si="3"/>
        <v>1836000</v>
      </c>
      <c r="F46" s="157"/>
    </row>
    <row r="47" spans="1:6" x14ac:dyDescent="0.35">
      <c r="A47" s="209" t="s">
        <v>452</v>
      </c>
      <c r="B47" s="78">
        <v>12</v>
      </c>
      <c r="C47" s="23"/>
      <c r="D47" s="27">
        <f>IFERROR(VLOOKUP(A47,[1]!TablaMateriales[#Data],2,FALSE),0)</f>
        <v>45000</v>
      </c>
      <c r="E47" s="27">
        <f>B47*D47</f>
        <v>540000</v>
      </c>
      <c r="F47" s="157"/>
    </row>
    <row r="48" spans="1:6" x14ac:dyDescent="0.35">
      <c r="A48" s="209" t="s">
        <v>397</v>
      </c>
      <c r="B48" s="78">
        <v>100</v>
      </c>
      <c r="C48" s="23"/>
      <c r="D48" s="27">
        <f>IFERROR(VLOOKUP(A48,[1]!TablaMateriales[#Data],2,FALSE),0)</f>
        <v>1200</v>
      </c>
      <c r="E48" s="27">
        <f>B48*D48</f>
        <v>120000</v>
      </c>
      <c r="F48" s="157"/>
    </row>
    <row r="49" spans="1:6" ht="26" x14ac:dyDescent="0.35">
      <c r="A49" s="209" t="s">
        <v>398</v>
      </c>
      <c r="B49" s="78">
        <v>5</v>
      </c>
      <c r="C49" s="23"/>
      <c r="D49" s="27">
        <f>IFERROR(VLOOKUP(A49,[1]!TablaMateriales[#Data],2,FALSE),0)</f>
        <v>58000</v>
      </c>
      <c r="E49" s="27">
        <f>B49*D49</f>
        <v>290000</v>
      </c>
      <c r="F49" s="157"/>
    </row>
    <row r="50" spans="1:6" x14ac:dyDescent="0.35">
      <c r="A50" s="209" t="s">
        <v>387</v>
      </c>
      <c r="B50" s="78">
        <v>6</v>
      </c>
      <c r="C50" s="23"/>
      <c r="D50" s="27">
        <f>IFERROR(VLOOKUP(A50,[1]!TablaMateriales[#Data],2,FALSE),0)</f>
        <v>6000</v>
      </c>
      <c r="E50" s="27">
        <f t="shared" si="3"/>
        <v>36000</v>
      </c>
      <c r="F50" s="157"/>
    </row>
    <row r="51" spans="1:6" ht="16" thickBot="1" x14ac:dyDescent="0.4">
      <c r="A51" s="115" t="s">
        <v>243</v>
      </c>
      <c r="B51" s="78">
        <v>1</v>
      </c>
      <c r="C51" s="23"/>
      <c r="D51" s="27">
        <f>IFERROR(VLOOKUP(A51,[1]!TablaMateriales[#Data],2,FALSE),0)</f>
        <v>9500</v>
      </c>
      <c r="E51" s="27">
        <f t="shared" si="3"/>
        <v>9500</v>
      </c>
      <c r="F51" s="191"/>
    </row>
    <row r="52" spans="1:6" x14ac:dyDescent="0.35">
      <c r="A52" s="314"/>
      <c r="B52" s="314"/>
      <c r="C52" s="314"/>
      <c r="D52" s="314"/>
      <c r="E52" s="314"/>
      <c r="F52" s="116">
        <f>SUM(E34:E51)</f>
        <v>30121749</v>
      </c>
    </row>
    <row r="53" spans="1:6" x14ac:dyDescent="0.35">
      <c r="A53" s="33" t="s">
        <v>88</v>
      </c>
      <c r="B53" s="34" t="s">
        <v>83</v>
      </c>
      <c r="C53" s="35" t="s">
        <v>84</v>
      </c>
      <c r="D53" s="36" t="s">
        <v>89</v>
      </c>
      <c r="E53" s="37" t="s">
        <v>86</v>
      </c>
      <c r="F53" s="315"/>
    </row>
    <row r="54" spans="1:6" x14ac:dyDescent="0.35">
      <c r="A54" s="130" t="s">
        <v>272</v>
      </c>
      <c r="B54" s="128">
        <v>1</v>
      </c>
      <c r="C54" s="128">
        <v>21</v>
      </c>
      <c r="D54" s="128">
        <v>399155</v>
      </c>
      <c r="E54" s="128">
        <f t="shared" ref="E54:E61" si="4">B54*C54*D54</f>
        <v>8382255</v>
      </c>
      <c r="F54" s="316"/>
    </row>
    <row r="55" spans="1:6" x14ac:dyDescent="0.35">
      <c r="A55" s="130" t="s">
        <v>273</v>
      </c>
      <c r="B55" s="128">
        <v>1</v>
      </c>
      <c r="C55" s="128">
        <v>21</v>
      </c>
      <c r="D55" s="128">
        <v>399155</v>
      </c>
      <c r="E55" s="128">
        <f t="shared" si="4"/>
        <v>8382255</v>
      </c>
      <c r="F55" s="316"/>
    </row>
    <row r="56" spans="1:6" x14ac:dyDescent="0.35">
      <c r="A56" s="130" t="s">
        <v>277</v>
      </c>
      <c r="B56" s="128">
        <v>1</v>
      </c>
      <c r="C56" s="128">
        <v>4.5</v>
      </c>
      <c r="D56" s="128">
        <v>399155</v>
      </c>
      <c r="E56" s="128">
        <f t="shared" si="4"/>
        <v>1796197.5</v>
      </c>
      <c r="F56" s="316"/>
    </row>
    <row r="57" spans="1:6" x14ac:dyDescent="0.35">
      <c r="A57" s="130" t="s">
        <v>278</v>
      </c>
      <c r="B57" s="128">
        <v>1</v>
      </c>
      <c r="C57" s="128">
        <v>5</v>
      </c>
      <c r="D57" s="128">
        <v>355463</v>
      </c>
      <c r="E57" s="128">
        <f t="shared" si="4"/>
        <v>1777315</v>
      </c>
      <c r="F57" s="316"/>
    </row>
    <row r="58" spans="1:6" x14ac:dyDescent="0.35">
      <c r="A58" s="130" t="s">
        <v>276</v>
      </c>
      <c r="B58" s="128">
        <v>0</v>
      </c>
      <c r="C58" s="128">
        <v>0</v>
      </c>
      <c r="D58" s="128">
        <v>355463</v>
      </c>
      <c r="E58" s="128">
        <f t="shared" si="4"/>
        <v>0</v>
      </c>
      <c r="F58" s="316"/>
    </row>
    <row r="59" spans="1:6" x14ac:dyDescent="0.35">
      <c r="A59" s="130" t="s">
        <v>274</v>
      </c>
      <c r="B59" s="128">
        <v>2</v>
      </c>
      <c r="C59" s="128">
        <v>21</v>
      </c>
      <c r="D59" s="128">
        <v>402655</v>
      </c>
      <c r="E59" s="128">
        <f t="shared" si="4"/>
        <v>16911510</v>
      </c>
      <c r="F59" s="316"/>
    </row>
    <row r="60" spans="1:6" x14ac:dyDescent="0.35">
      <c r="A60" s="130" t="s">
        <v>223</v>
      </c>
      <c r="B60" s="128">
        <v>1</v>
      </c>
      <c r="C60" s="128">
        <v>21</v>
      </c>
      <c r="D60" s="128">
        <v>355463</v>
      </c>
      <c r="E60" s="128">
        <f t="shared" si="4"/>
        <v>7464723</v>
      </c>
      <c r="F60" s="316"/>
    </row>
    <row r="61" spans="1:6" x14ac:dyDescent="0.35">
      <c r="A61" s="130" t="s">
        <v>275</v>
      </c>
      <c r="B61" s="128">
        <v>8</v>
      </c>
      <c r="C61" s="128">
        <v>21</v>
      </c>
      <c r="D61" s="128">
        <v>406359</v>
      </c>
      <c r="E61" s="128">
        <f t="shared" si="4"/>
        <v>68268312</v>
      </c>
      <c r="F61" s="316"/>
    </row>
    <row r="62" spans="1:6" x14ac:dyDescent="0.35">
      <c r="A62" s="287"/>
      <c r="B62" s="287"/>
      <c r="C62" s="287"/>
      <c r="D62" s="287"/>
      <c r="E62" s="287"/>
      <c r="F62" s="121">
        <f>SUM(E54:E61)</f>
        <v>112982567.5</v>
      </c>
    </row>
    <row r="63" spans="1:6" x14ac:dyDescent="0.35">
      <c r="A63" s="33" t="s">
        <v>279</v>
      </c>
      <c r="B63" s="34" t="s">
        <v>83</v>
      </c>
      <c r="C63" s="35" t="s">
        <v>84</v>
      </c>
      <c r="D63" s="36" t="s">
        <v>269</v>
      </c>
      <c r="E63" s="37" t="s">
        <v>86</v>
      </c>
      <c r="F63" s="62"/>
    </row>
    <row r="64" spans="1:6" x14ac:dyDescent="0.35">
      <c r="A64" s="130" t="s">
        <v>240</v>
      </c>
      <c r="B64" s="128">
        <v>1</v>
      </c>
      <c r="C64" s="128">
        <v>7</v>
      </c>
      <c r="D64" s="128">
        <f>IFERROR(VLOOKUP(A64,[1]!TablaTransporte[#Data],2,FALSE),0)</f>
        <v>550000</v>
      </c>
      <c r="E64" s="128">
        <f>B64*C64*D64</f>
        <v>3850000</v>
      </c>
      <c r="F64" s="170"/>
    </row>
    <row r="65" spans="1:6" x14ac:dyDescent="0.35">
      <c r="A65" s="130" t="s">
        <v>246</v>
      </c>
      <c r="B65" s="128">
        <v>1</v>
      </c>
      <c r="C65" s="128">
        <v>4</v>
      </c>
      <c r="D65" s="128">
        <f>IFERROR(VLOOKUP(A65,[1]!TablaTransporte[#Data],2,FALSE),0)</f>
        <v>322000</v>
      </c>
      <c r="E65" s="128">
        <f>B65*C65*D65</f>
        <v>1288000</v>
      </c>
      <c r="F65" s="171"/>
    </row>
    <row r="66" spans="1:6" x14ac:dyDescent="0.35">
      <c r="A66" s="130" t="s">
        <v>245</v>
      </c>
      <c r="B66" s="128">
        <v>1</v>
      </c>
      <c r="C66" s="128">
        <v>4</v>
      </c>
      <c r="D66" s="128">
        <f>IFERROR(VLOOKUP(A66,[1]!TablaTransporte[#Data],2,FALSE),0)</f>
        <v>1350000</v>
      </c>
      <c r="E66" s="128">
        <f>B66*C66*D66</f>
        <v>5400000</v>
      </c>
      <c r="F66" s="171"/>
    </row>
    <row r="67" spans="1:6" x14ac:dyDescent="0.35">
      <c r="A67" s="130" t="s">
        <v>381</v>
      </c>
      <c r="B67" s="128">
        <v>1</v>
      </c>
      <c r="C67" s="128">
        <v>15</v>
      </c>
      <c r="D67" s="128">
        <f>IFERROR(VLOOKUP(A67,[1]!TablaTransporte[#Data],2,FALSE),0)</f>
        <v>600000</v>
      </c>
      <c r="E67" s="128">
        <f>C67*D67</f>
        <v>9000000</v>
      </c>
      <c r="F67" s="171"/>
    </row>
    <row r="68" spans="1:6" x14ac:dyDescent="0.35">
      <c r="A68" s="130" t="s">
        <v>388</v>
      </c>
      <c r="B68" s="128">
        <v>1</v>
      </c>
      <c r="C68" s="128">
        <v>6</v>
      </c>
      <c r="D68" s="128">
        <f>IFERROR(VLOOKUP(A68,[1]!TablaTransporte[#Data],2,FALSE),0)</f>
        <v>0</v>
      </c>
      <c r="E68" s="128">
        <f>B68*C68*D68</f>
        <v>0</v>
      </c>
      <c r="F68" s="171"/>
    </row>
    <row r="69" spans="1:6" ht="23" x14ac:dyDescent="0.35">
      <c r="A69" s="130" t="s">
        <v>450</v>
      </c>
      <c r="B69" s="128">
        <v>1</v>
      </c>
      <c r="C69" s="128">
        <v>15</v>
      </c>
      <c r="D69" s="108">
        <f>IFERROR(VLOOKUP(A69,[1]!TablaTransporte[#Data],2,FALSE),0)</f>
        <v>600000</v>
      </c>
      <c r="E69" s="128">
        <f>B69*C69*D69</f>
        <v>9000000</v>
      </c>
      <c r="F69" s="171"/>
    </row>
    <row r="70" spans="1:6" ht="15.5" x14ac:dyDescent="0.35">
      <c r="A70" s="122"/>
      <c r="B70" s="128"/>
      <c r="C70" s="128"/>
      <c r="D70" s="128">
        <f>IFERROR(VLOOKUP(A70,[1]!TablaTransporte[#Data],2,FALSE),0)</f>
        <v>0</v>
      </c>
      <c r="E70" s="128">
        <f>B70*C70*D70</f>
        <v>0</v>
      </c>
      <c r="F70" s="171"/>
    </row>
    <row r="71" spans="1:6" x14ac:dyDescent="0.35">
      <c r="A71" s="130"/>
      <c r="B71" s="128"/>
      <c r="C71" s="128"/>
      <c r="D71" s="128">
        <f>IFERROR(VLOOKUP(A71,[1]!TablaTransporte[#Data],2,FALSE),0)</f>
        <v>0</v>
      </c>
      <c r="E71" s="128"/>
      <c r="F71" s="171"/>
    </row>
    <row r="72" spans="1:6" x14ac:dyDescent="0.35">
      <c r="A72" s="130"/>
      <c r="B72" s="128"/>
      <c r="C72" s="128"/>
      <c r="D72" s="128">
        <f>IFERROR(VLOOKUP(A72,[1]!TablaTransporte[#Data],2,FALSE),0)</f>
        <v>0</v>
      </c>
      <c r="E72" s="128"/>
      <c r="F72" s="172"/>
    </row>
    <row r="73" spans="1:6" x14ac:dyDescent="0.35">
      <c r="A73" s="319"/>
      <c r="B73" s="320"/>
      <c r="C73" s="320"/>
      <c r="D73" s="320"/>
      <c r="E73" s="321"/>
      <c r="F73" s="42">
        <f>SUM(E64:E72)</f>
        <v>28538000</v>
      </c>
    </row>
    <row r="74" spans="1:6" ht="15" thickBot="1" x14ac:dyDescent="0.4">
      <c r="A74" s="322"/>
      <c r="B74" s="292"/>
      <c r="C74" s="292"/>
      <c r="D74" s="292"/>
      <c r="E74" s="323"/>
      <c r="F74" s="42">
        <f>F32+F52+F62+F73</f>
        <v>177875441.5</v>
      </c>
    </row>
    <row r="75" spans="1:6" ht="15" thickBot="1" x14ac:dyDescent="0.4">
      <c r="A75" s="302">
        <v>0.15</v>
      </c>
      <c r="B75" s="300"/>
      <c r="C75" s="300"/>
      <c r="D75" s="300"/>
      <c r="E75" s="301"/>
      <c r="F75" s="44">
        <f>F74*A75</f>
        <v>26681316.224999998</v>
      </c>
    </row>
    <row r="76" spans="1:6" ht="15" thickBot="1" x14ac:dyDescent="0.4">
      <c r="A76" s="286"/>
      <c r="B76" s="286"/>
      <c r="C76" s="286"/>
      <c r="D76" s="286"/>
      <c r="E76" s="286"/>
      <c r="F76" s="28">
        <f>F74+F75</f>
        <v>204556757.72499999</v>
      </c>
    </row>
    <row r="77" spans="1:6" ht="15" thickBot="1" x14ac:dyDescent="0.4">
      <c r="A77" s="317">
        <v>0.1</v>
      </c>
      <c r="B77" s="306"/>
      <c r="C77" s="306"/>
      <c r="D77" s="306"/>
      <c r="E77" s="282"/>
      <c r="F77" s="28">
        <f>F76*A77</f>
        <v>20455675.772500001</v>
      </c>
    </row>
    <row r="78" spans="1:6" x14ac:dyDescent="0.35">
      <c r="F78" s="80">
        <f>F76+F77</f>
        <v>225012433.4975</v>
      </c>
    </row>
    <row r="79" spans="1:6" x14ac:dyDescent="0.35">
      <c r="F79" s="80">
        <f>F78/F4</f>
        <v>75004144.499166667</v>
      </c>
    </row>
  </sheetData>
  <mergeCells count="10">
    <mergeCell ref="F53:F61"/>
    <mergeCell ref="A62:E62"/>
    <mergeCell ref="A73:E73"/>
    <mergeCell ref="A1:F1"/>
    <mergeCell ref="A32:E32"/>
    <mergeCell ref="A74:E74"/>
    <mergeCell ref="A75:E75"/>
    <mergeCell ref="A76:E76"/>
    <mergeCell ref="A77:E77"/>
    <mergeCell ref="A52:E52"/>
  </mergeCells>
  <dataValidations count="3">
    <dataValidation type="list" allowBlank="1" showInputMessage="1" showErrorMessage="1" sqref="A65:A72" xr:uid="{FC1E3652-2A53-4518-9569-89E2FBA9E333}">
      <formula1>ListaTransporte</formula1>
    </dataValidation>
    <dataValidation type="list" allowBlank="1" showInputMessage="1" showErrorMessage="1" sqref="A3:A32" xr:uid="{1C3BD6FD-EAB8-41FA-8A22-FF729ABDBE38}">
      <formula1>ListaEquipos</formula1>
    </dataValidation>
    <dataValidation type="list" allowBlank="1" showInputMessage="1" showErrorMessage="1" sqref="A34:A52" xr:uid="{25448296-ECF7-42CE-B818-08D21C814E2D}">
      <formula1>ListaMateriales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A672-939A-4BDD-BBEA-8847683CD5D1}">
  <sheetPr>
    <tabColor rgb="FF00B050"/>
  </sheetPr>
  <dimension ref="A1:F53"/>
  <sheetViews>
    <sheetView topLeftCell="A34" workbookViewId="0">
      <selection activeCell="H48" sqref="H48"/>
    </sheetView>
  </sheetViews>
  <sheetFormatPr baseColWidth="10" defaultRowHeight="14.5" x14ac:dyDescent="0.35"/>
  <cols>
    <col min="1" max="1" width="22.90625" bestFit="1" customWidth="1"/>
    <col min="2" max="2" width="6" bestFit="1" customWidth="1"/>
    <col min="3" max="3" width="9.6328125" bestFit="1" customWidth="1"/>
    <col min="4" max="4" width="10.08984375" bestFit="1" customWidth="1"/>
    <col min="6" max="6" width="15.08984375" bestFit="1" customWidth="1"/>
  </cols>
  <sheetData>
    <row r="1" spans="1:6" x14ac:dyDescent="0.35">
      <c r="A1" s="306" t="s">
        <v>42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12</v>
      </c>
    </row>
    <row r="4" spans="1:6" x14ac:dyDescent="0.35">
      <c r="A4" s="24" t="s">
        <v>382</v>
      </c>
      <c r="B4" s="22">
        <v>3</v>
      </c>
      <c r="C4" s="23">
        <v>3</v>
      </c>
      <c r="D4" s="24">
        <f>IFERROR(VLOOKUP(A4,[1]!TablaEquipos[#Data],2,FALSE),0)</f>
        <v>700</v>
      </c>
      <c r="E4" s="25">
        <f t="shared" ref="E4:E17" si="0">B4*C4*D4</f>
        <v>6300</v>
      </c>
      <c r="F4" s="62"/>
    </row>
    <row r="5" spans="1:6" x14ac:dyDescent="0.35">
      <c r="A5" s="26" t="s">
        <v>226</v>
      </c>
      <c r="B5" s="22">
        <v>1</v>
      </c>
      <c r="C5" s="23">
        <v>3</v>
      </c>
      <c r="D5" s="24">
        <f>IFERROR(VLOOKUP(A5,[1]!TablaEquipos[#Data],2,FALSE),0)</f>
        <v>700</v>
      </c>
      <c r="E5" s="25">
        <f t="shared" si="0"/>
        <v>2100</v>
      </c>
      <c r="F5" s="62"/>
    </row>
    <row r="6" spans="1:6" x14ac:dyDescent="0.35">
      <c r="A6" s="26" t="s">
        <v>456</v>
      </c>
      <c r="B6" s="22">
        <v>1</v>
      </c>
      <c r="C6" s="23">
        <v>3</v>
      </c>
      <c r="D6" s="24">
        <f>IFERROR(VLOOKUP(A6,[1]!TablaEquipos[#Data],2,FALSE),0)</f>
        <v>1500</v>
      </c>
      <c r="E6" s="25">
        <f t="shared" si="0"/>
        <v>4500</v>
      </c>
      <c r="F6" s="62"/>
    </row>
    <row r="7" spans="1:6" x14ac:dyDescent="0.35">
      <c r="A7" s="24" t="s">
        <v>228</v>
      </c>
      <c r="B7" s="22">
        <v>1</v>
      </c>
      <c r="C7" s="23">
        <v>3</v>
      </c>
      <c r="D7" s="24">
        <f>IFERROR(VLOOKUP(A7,[1]!TablaEquipos[#Data],2,FALSE),0)</f>
        <v>1500</v>
      </c>
      <c r="E7" s="25">
        <f t="shared" si="0"/>
        <v>4500</v>
      </c>
      <c r="F7" s="62"/>
    </row>
    <row r="8" spans="1:6" x14ac:dyDescent="0.35">
      <c r="A8" s="24" t="s">
        <v>459</v>
      </c>
      <c r="B8" s="22">
        <v>1</v>
      </c>
      <c r="C8" s="23">
        <v>3</v>
      </c>
      <c r="D8" s="24">
        <f>IFERROR(VLOOKUP(A8,[1]!TablaEquipos[#Data],2,FALSE),0)</f>
        <v>60000</v>
      </c>
      <c r="E8" s="25">
        <f t="shared" si="0"/>
        <v>180000</v>
      </c>
      <c r="F8" s="62"/>
    </row>
    <row r="9" spans="1:6" x14ac:dyDescent="0.35">
      <c r="A9" s="24" t="s">
        <v>458</v>
      </c>
      <c r="B9" s="22">
        <v>2</v>
      </c>
      <c r="C9" s="23">
        <v>3</v>
      </c>
      <c r="D9" s="24">
        <f>IFERROR(VLOOKUP(A9,[1]!TablaEquipos[#Data],2,FALSE),0)</f>
        <v>700</v>
      </c>
      <c r="E9" s="25">
        <f t="shared" si="0"/>
        <v>4200</v>
      </c>
      <c r="F9" s="62"/>
    </row>
    <row r="10" spans="1:6" x14ac:dyDescent="0.35">
      <c r="A10" s="24" t="s">
        <v>443</v>
      </c>
      <c r="B10" s="22">
        <v>1</v>
      </c>
      <c r="C10" s="23">
        <v>7</v>
      </c>
      <c r="D10" s="24">
        <f>IFERROR(VLOOKUP(A10,[1]!TablaEquipos[#Data],2,FALSE),0)</f>
        <v>5000</v>
      </c>
      <c r="E10" s="25">
        <f t="shared" si="0"/>
        <v>35000</v>
      </c>
      <c r="F10" s="62"/>
    </row>
    <row r="11" spans="1:6" x14ac:dyDescent="0.35">
      <c r="A11" s="24" t="s">
        <v>252</v>
      </c>
      <c r="B11" s="22">
        <v>2</v>
      </c>
      <c r="C11" s="23">
        <v>3</v>
      </c>
      <c r="D11" s="24">
        <f>IFERROR(VLOOKUP(A11,[1]!TablaEquipos[#Data],2,FALSE),0)</f>
        <v>700</v>
      </c>
      <c r="E11" s="25">
        <f t="shared" si="0"/>
        <v>4200</v>
      </c>
      <c r="F11" s="62"/>
    </row>
    <row r="12" spans="1:6" x14ac:dyDescent="0.35">
      <c r="A12" s="24" t="s">
        <v>451</v>
      </c>
      <c r="B12" s="22">
        <v>2</v>
      </c>
      <c r="C12" s="23">
        <v>3</v>
      </c>
      <c r="D12" s="24">
        <f>IFERROR(VLOOKUP(A12,[1]!TablaEquipos[#Data],2,FALSE),0)</f>
        <v>700</v>
      </c>
      <c r="E12" s="25">
        <f t="shared" si="0"/>
        <v>4200</v>
      </c>
      <c r="F12" s="62"/>
    </row>
    <row r="13" spans="1:6" x14ac:dyDescent="0.35">
      <c r="A13" s="24" t="s">
        <v>457</v>
      </c>
      <c r="B13" s="22">
        <v>2</v>
      </c>
      <c r="C13" s="23">
        <v>3</v>
      </c>
      <c r="D13" s="24">
        <f>IFERROR(VLOOKUP(A13,[1]!TablaEquipos[#Data],2,FALSE),0)</f>
        <v>700</v>
      </c>
      <c r="E13" s="25">
        <f t="shared" si="0"/>
        <v>4200</v>
      </c>
      <c r="F13" s="62"/>
    </row>
    <row r="14" spans="1:6" x14ac:dyDescent="0.35">
      <c r="A14" s="24" t="s">
        <v>337</v>
      </c>
      <c r="B14" s="22">
        <v>4</v>
      </c>
      <c r="C14" s="23">
        <v>3</v>
      </c>
      <c r="D14" s="24">
        <f>IFERROR(VLOOKUP(A14,[1]!TablaEquipos[#Data],2,FALSE),0)</f>
        <v>500</v>
      </c>
      <c r="E14" s="25">
        <f t="shared" si="0"/>
        <v>6000</v>
      </c>
      <c r="F14" s="62"/>
    </row>
    <row r="15" spans="1:6" x14ac:dyDescent="0.35">
      <c r="A15" s="24" t="s">
        <v>462</v>
      </c>
      <c r="B15" s="22">
        <v>1</v>
      </c>
      <c r="C15" s="23">
        <v>3</v>
      </c>
      <c r="D15" s="24">
        <f>IFERROR(VLOOKUP(A15,[1]!TablaEquipos[#Data],2,FALSE),0)</f>
        <v>10000</v>
      </c>
      <c r="E15" s="25">
        <f>B15*C15*D15</f>
        <v>30000</v>
      </c>
      <c r="F15" s="62"/>
    </row>
    <row r="16" spans="1:6" x14ac:dyDescent="0.35">
      <c r="A16" s="24" t="s">
        <v>460</v>
      </c>
      <c r="B16" s="22">
        <v>1</v>
      </c>
      <c r="C16" s="23">
        <v>3</v>
      </c>
      <c r="D16" s="24">
        <f>IFERROR(VLOOKUP(A16,[1]!TablaEquipos[#Data],2,FALSE),0)</f>
        <v>30000</v>
      </c>
      <c r="E16" s="25">
        <f>B16*C16*D16</f>
        <v>90000</v>
      </c>
      <c r="F16" s="62"/>
    </row>
    <row r="17" spans="1:6" x14ac:dyDescent="0.35">
      <c r="A17" s="24" t="s">
        <v>435</v>
      </c>
      <c r="B17" s="22">
        <v>2</v>
      </c>
      <c r="C17" s="23">
        <v>3</v>
      </c>
      <c r="D17" s="24">
        <f>IFERROR(VLOOKUP(A17,[1]!TablaEquipos[#Data],2,FALSE),0)</f>
        <v>700</v>
      </c>
      <c r="E17" s="25">
        <f t="shared" si="0"/>
        <v>4200</v>
      </c>
      <c r="F17" s="62"/>
    </row>
    <row r="18" spans="1:6" ht="15" thickBot="1" x14ac:dyDescent="0.4">
      <c r="A18" s="294"/>
      <c r="B18" s="295"/>
      <c r="C18" s="295"/>
      <c r="D18" s="295"/>
      <c r="E18" s="295"/>
      <c r="F18" s="84">
        <f>SUM(E4:E17)</f>
        <v>379400</v>
      </c>
    </row>
    <row r="19" spans="1:6" x14ac:dyDescent="0.35">
      <c r="A19" s="33" t="s">
        <v>270</v>
      </c>
      <c r="B19" s="34" t="s">
        <v>83</v>
      </c>
      <c r="C19" s="45" t="s">
        <v>84</v>
      </c>
      <c r="D19" s="46" t="s">
        <v>269</v>
      </c>
      <c r="E19" s="37" t="s">
        <v>86</v>
      </c>
      <c r="F19" s="168"/>
    </row>
    <row r="20" spans="1:6" x14ac:dyDescent="0.35">
      <c r="A20" s="24" t="s">
        <v>243</v>
      </c>
      <c r="B20" s="22">
        <v>20</v>
      </c>
      <c r="C20" s="29"/>
      <c r="D20" s="27">
        <f>IFERROR(VLOOKUP(A20,[1]!TablaMateriales[#Data],2,FALSE),0)</f>
        <v>9500</v>
      </c>
      <c r="E20" s="25">
        <f t="shared" ref="E20:E31" si="1">B20*D20</f>
        <v>190000</v>
      </c>
      <c r="F20" s="155"/>
    </row>
    <row r="21" spans="1:6" x14ac:dyDescent="0.35">
      <c r="A21" s="30" t="s">
        <v>254</v>
      </c>
      <c r="B21" s="22">
        <v>10</v>
      </c>
      <c r="C21" s="29"/>
      <c r="D21" s="27">
        <f>IFERROR(VLOOKUP(A21,[1]!TablaMateriales[#Data],2,FALSE),0)</f>
        <v>20000</v>
      </c>
      <c r="E21" s="25">
        <f t="shared" si="1"/>
        <v>200000</v>
      </c>
      <c r="F21" s="155"/>
    </row>
    <row r="22" spans="1:6" x14ac:dyDescent="0.35">
      <c r="A22" s="30" t="s">
        <v>256</v>
      </c>
      <c r="B22" s="22">
        <v>1</v>
      </c>
      <c r="C22" s="29"/>
      <c r="D22" s="27">
        <f>IFERROR(VLOOKUP(A22,[1]!TablaMateriales[#Data],2,FALSE),0)</f>
        <v>0</v>
      </c>
      <c r="E22" s="25">
        <f t="shared" si="1"/>
        <v>0</v>
      </c>
      <c r="F22" s="155"/>
    </row>
    <row r="23" spans="1:6" x14ac:dyDescent="0.35">
      <c r="A23" s="30" t="s">
        <v>257</v>
      </c>
      <c r="B23" s="78">
        <v>1</v>
      </c>
      <c r="C23" s="23"/>
      <c r="D23" s="27">
        <f>IFERROR(VLOOKUP(A23,[1]!TablaMateriales[#Data],2,FALSE),0)</f>
        <v>9500</v>
      </c>
      <c r="E23" s="25">
        <f t="shared" si="1"/>
        <v>9500</v>
      </c>
      <c r="F23" s="155"/>
    </row>
    <row r="24" spans="1:6" ht="23" x14ac:dyDescent="0.35">
      <c r="A24" s="79" t="s">
        <v>261</v>
      </c>
      <c r="B24" s="78">
        <v>1</v>
      </c>
      <c r="C24" s="23"/>
      <c r="D24" s="27">
        <f>IFERROR(VLOOKUP(A24,[1]!TablaMateriales[#Data],2,FALSE),0)</f>
        <v>55000</v>
      </c>
      <c r="E24" s="25">
        <f t="shared" si="1"/>
        <v>55000</v>
      </c>
      <c r="F24" s="155"/>
    </row>
    <row r="25" spans="1:6" x14ac:dyDescent="0.35">
      <c r="A25" s="31" t="s">
        <v>455</v>
      </c>
      <c r="B25" s="134">
        <v>10</v>
      </c>
      <c r="C25" s="23"/>
      <c r="D25" s="27">
        <f>IFERROR(VLOOKUP(A25,[1]!TablaMateriales[#Data],2,FALSE),0)</f>
        <v>38000</v>
      </c>
      <c r="E25" s="27">
        <f t="shared" si="1"/>
        <v>380000</v>
      </c>
      <c r="F25" s="155"/>
    </row>
    <row r="26" spans="1:6" ht="23" x14ac:dyDescent="0.35">
      <c r="A26" s="31" t="s">
        <v>309</v>
      </c>
      <c r="B26" s="134">
        <v>1.5</v>
      </c>
      <c r="C26" s="23"/>
      <c r="D26" s="27">
        <f>IFERROR(VLOOKUP(A26,[1]!TablaMateriales[#Data],2,FALSE),0)</f>
        <v>56327</v>
      </c>
      <c r="E26" s="27">
        <f t="shared" si="1"/>
        <v>84490.5</v>
      </c>
      <c r="F26" s="155"/>
    </row>
    <row r="27" spans="1:6" ht="23" x14ac:dyDescent="0.35">
      <c r="A27" s="31" t="s">
        <v>409</v>
      </c>
      <c r="B27" s="134">
        <v>1.5</v>
      </c>
      <c r="C27" s="23"/>
      <c r="D27" s="27">
        <f>IFERROR(VLOOKUP(A27,[1]!TablaMateriales[#Data],2,FALSE),0)</f>
        <v>53000</v>
      </c>
      <c r="E27" s="27">
        <f t="shared" si="1"/>
        <v>79500</v>
      </c>
      <c r="F27" s="155"/>
    </row>
    <row r="28" spans="1:6" x14ac:dyDescent="0.35">
      <c r="A28" s="31" t="s">
        <v>387</v>
      </c>
      <c r="B28" s="134">
        <v>0.5</v>
      </c>
      <c r="C28" s="23"/>
      <c r="D28" s="27">
        <f>IFERROR(VLOOKUP(A28,[1]!TablaMateriales[#Data],2,FALSE),0)</f>
        <v>6000</v>
      </c>
      <c r="E28" s="27">
        <f t="shared" si="1"/>
        <v>3000</v>
      </c>
      <c r="F28" s="155"/>
    </row>
    <row r="29" spans="1:6" x14ac:dyDescent="0.35">
      <c r="A29" s="31" t="s">
        <v>397</v>
      </c>
      <c r="B29" s="134">
        <v>20</v>
      </c>
      <c r="C29" s="23"/>
      <c r="D29" s="27">
        <f>IFERROR(VLOOKUP(A29,[1]!TablaMateriales[#Data],2,FALSE),0)</f>
        <v>1200</v>
      </c>
      <c r="E29" s="27">
        <f t="shared" si="1"/>
        <v>24000</v>
      </c>
      <c r="F29" s="155"/>
    </row>
    <row r="30" spans="1:6" x14ac:dyDescent="0.35">
      <c r="A30" s="31" t="s">
        <v>463</v>
      </c>
      <c r="B30" s="134">
        <v>0.5</v>
      </c>
      <c r="C30" s="23"/>
      <c r="D30" s="27">
        <f>IFERROR(VLOOKUP(A30,[1]!TablaMateriales[#Data],2,FALSE),0)</f>
        <v>69900</v>
      </c>
      <c r="E30" s="27">
        <f t="shared" si="1"/>
        <v>34950</v>
      </c>
      <c r="F30" s="155"/>
    </row>
    <row r="31" spans="1:6" ht="15" thickBot="1" x14ac:dyDescent="0.4">
      <c r="A31" s="31" t="s">
        <v>439</v>
      </c>
      <c r="B31" s="134">
        <v>0.5</v>
      </c>
      <c r="C31" s="23"/>
      <c r="D31" s="27">
        <f>IFERROR(VLOOKUP(A31,[1]!TablaMateriales[#Data],2,FALSE),0)</f>
        <v>59000</v>
      </c>
      <c r="E31" s="27">
        <f t="shared" si="1"/>
        <v>29500</v>
      </c>
      <c r="F31" s="155"/>
    </row>
    <row r="32" spans="1:6" ht="15" thickBot="1" x14ac:dyDescent="0.4">
      <c r="A32" s="296"/>
      <c r="B32" s="297"/>
      <c r="C32" s="297"/>
      <c r="D32" s="297"/>
      <c r="E32" s="298"/>
      <c r="F32" s="28">
        <f>SUM(E20:E31)</f>
        <v>1089940.5</v>
      </c>
    </row>
    <row r="33" spans="1:6" x14ac:dyDescent="0.35">
      <c r="A33" s="33" t="s">
        <v>88</v>
      </c>
      <c r="B33" s="34" t="s">
        <v>83</v>
      </c>
      <c r="C33" s="35" t="s">
        <v>84</v>
      </c>
      <c r="D33" s="36" t="s">
        <v>89</v>
      </c>
      <c r="E33" s="37" t="s">
        <v>86</v>
      </c>
      <c r="F33" s="280"/>
    </row>
    <row r="34" spans="1:6" x14ac:dyDescent="0.35">
      <c r="A34" s="38" t="s">
        <v>272</v>
      </c>
      <c r="B34" s="34">
        <v>1</v>
      </c>
      <c r="C34" s="35">
        <v>5.77</v>
      </c>
      <c r="D34" s="39">
        <f>'tabla salarial'!AS4</f>
        <v>555393.74067333317</v>
      </c>
      <c r="E34" s="37">
        <f>B34*C34*D34</f>
        <v>3204621.883685132</v>
      </c>
      <c r="F34" s="281"/>
    </row>
    <row r="35" spans="1:6" x14ac:dyDescent="0.35">
      <c r="A35" s="107" t="s">
        <v>273</v>
      </c>
      <c r="B35" s="20">
        <v>1</v>
      </c>
      <c r="C35" s="40">
        <v>5.7</v>
      </c>
      <c r="D35" s="39">
        <f>'tabla salarial'!AS4</f>
        <v>555393.74067333317</v>
      </c>
      <c r="E35" s="21">
        <f t="shared" ref="E35:E41" si="2">B35*C35*D35</f>
        <v>3165744.3218379994</v>
      </c>
      <c r="F35" s="281"/>
    </row>
    <row r="36" spans="1:6" x14ac:dyDescent="0.35">
      <c r="A36" s="107" t="s">
        <v>277</v>
      </c>
      <c r="B36" s="20">
        <v>1</v>
      </c>
      <c r="C36" s="35"/>
      <c r="D36" s="39">
        <f>'tabla salarial'!AS4</f>
        <v>555393.74067333317</v>
      </c>
      <c r="E36" s="21">
        <f>B36*C36*D36</f>
        <v>0</v>
      </c>
      <c r="F36" s="281"/>
    </row>
    <row r="37" spans="1:6" x14ac:dyDescent="0.35">
      <c r="A37" s="107" t="s">
        <v>278</v>
      </c>
      <c r="B37" s="20">
        <v>1.5</v>
      </c>
      <c r="C37" s="35"/>
      <c r="D37" s="39">
        <f>'tabla salarial'!AS6</f>
        <v>407197.80492666672</v>
      </c>
      <c r="E37" s="21">
        <f>B37*C37*D37</f>
        <v>0</v>
      </c>
      <c r="F37" s="281"/>
    </row>
    <row r="38" spans="1:6" ht="20.5" customHeight="1" x14ac:dyDescent="0.35">
      <c r="A38" s="107" t="s">
        <v>276</v>
      </c>
      <c r="B38" s="20">
        <v>2</v>
      </c>
      <c r="C38" s="35"/>
      <c r="D38" s="39">
        <f>'tabla salarial'!AS6</f>
        <v>407197.80492666672</v>
      </c>
      <c r="E38" s="21">
        <f>B38*C38*D38</f>
        <v>0</v>
      </c>
      <c r="F38" s="281"/>
    </row>
    <row r="39" spans="1:6" x14ac:dyDescent="0.35">
      <c r="A39" s="107" t="s">
        <v>274</v>
      </c>
      <c r="B39" s="20">
        <v>1</v>
      </c>
      <c r="C39" s="35">
        <v>5.77</v>
      </c>
      <c r="D39" s="39">
        <f>'tabla salarial'!AS7</f>
        <v>371571.3297066667</v>
      </c>
      <c r="E39" s="21">
        <f t="shared" si="2"/>
        <v>2143966.5724074668</v>
      </c>
      <c r="F39" s="281"/>
    </row>
    <row r="40" spans="1:6" x14ac:dyDescent="0.35">
      <c r="A40" s="107" t="s">
        <v>223</v>
      </c>
      <c r="B40" s="20">
        <v>1</v>
      </c>
      <c r="C40" s="35">
        <v>5.77</v>
      </c>
      <c r="D40" s="39">
        <f>'tabla salarial'!AS8</f>
        <v>355821.87609999999</v>
      </c>
      <c r="E40" s="21">
        <f>B40*C40*D40</f>
        <v>2053092.2250969999</v>
      </c>
      <c r="F40" s="281"/>
    </row>
    <row r="41" spans="1:6" x14ac:dyDescent="0.35">
      <c r="A41" s="107" t="s">
        <v>275</v>
      </c>
      <c r="B41" s="20">
        <v>3</v>
      </c>
      <c r="C41" s="40">
        <v>5.77</v>
      </c>
      <c r="D41" s="39">
        <f>'tabla salarial'!AS9</f>
        <v>382109.06042666658</v>
      </c>
      <c r="E41" s="21">
        <f t="shared" si="2"/>
        <v>6614307.8359855982</v>
      </c>
      <c r="F41" s="281"/>
    </row>
    <row r="42" spans="1:6" x14ac:dyDescent="0.35">
      <c r="A42" s="287"/>
      <c r="B42" s="287"/>
      <c r="C42" s="287"/>
      <c r="D42" s="287"/>
      <c r="E42" s="287"/>
      <c r="F42" s="42">
        <f>SUM(E34:E41)</f>
        <v>17181732.839013197</v>
      </c>
    </row>
    <row r="43" spans="1:6" x14ac:dyDescent="0.35">
      <c r="A43" s="33" t="s">
        <v>279</v>
      </c>
      <c r="B43" s="34" t="s">
        <v>83</v>
      </c>
      <c r="C43" s="35" t="s">
        <v>84</v>
      </c>
      <c r="D43" s="36" t="s">
        <v>269</v>
      </c>
      <c r="E43" s="37" t="s">
        <v>86</v>
      </c>
      <c r="F43" s="170"/>
    </row>
    <row r="44" spans="1:6" x14ac:dyDescent="0.35">
      <c r="A44" s="164" t="s">
        <v>240</v>
      </c>
      <c r="B44" s="108">
        <v>1</v>
      </c>
      <c r="C44" s="166">
        <v>1</v>
      </c>
      <c r="D44" s="108">
        <f>IFERROR(VLOOKUP(A44,[1]!TablaTransporte[#Data],2,FALSE),0)</f>
        <v>550000</v>
      </c>
      <c r="E44" s="110">
        <f>B44*C44*D44</f>
        <v>550000</v>
      </c>
      <c r="F44" s="171"/>
    </row>
    <row r="45" spans="1:6" x14ac:dyDescent="0.35">
      <c r="A45" s="164" t="s">
        <v>381</v>
      </c>
      <c r="B45" s="108">
        <v>1</v>
      </c>
      <c r="C45" s="108">
        <v>3</v>
      </c>
      <c r="D45" s="108">
        <f>IFERROR(VLOOKUP(A45,[1]!TablaTransporte[#Data],2,FALSE),0)</f>
        <v>600000</v>
      </c>
      <c r="E45" s="108">
        <f>B45*C45*D45</f>
        <v>1800000</v>
      </c>
      <c r="F45" s="171"/>
    </row>
    <row r="46" spans="1:6" x14ac:dyDescent="0.35">
      <c r="A46" s="41"/>
      <c r="B46" s="41"/>
      <c r="C46" s="41"/>
      <c r="D46" s="41">
        <f>IFERROR(VLOOKUP(A46,[1]!TablaTransporte[#Data],2,FALSE),0)</f>
        <v>0</v>
      </c>
      <c r="E46" s="41"/>
      <c r="F46" s="172"/>
    </row>
    <row r="47" spans="1:6" x14ac:dyDescent="0.35">
      <c r="A47" s="43"/>
      <c r="B47" s="43"/>
      <c r="C47" s="43"/>
      <c r="D47" s="43"/>
      <c r="E47" s="43"/>
      <c r="F47" s="42">
        <f>SUM(E44:E45)</f>
        <v>2350000</v>
      </c>
    </row>
    <row r="48" spans="1:6" x14ac:dyDescent="0.35">
      <c r="A48" s="288"/>
      <c r="B48" s="289"/>
      <c r="C48" s="289"/>
      <c r="D48" s="289"/>
      <c r="E48" s="290"/>
      <c r="F48" s="215">
        <f>F18+F32+F42+F47</f>
        <v>21001073.339013197</v>
      </c>
    </row>
    <row r="49" spans="1:6" ht="15" thickBot="1" x14ac:dyDescent="0.4">
      <c r="A49" s="291"/>
      <c r="B49" s="292"/>
      <c r="C49" s="292"/>
      <c r="D49" s="292"/>
      <c r="E49" s="293"/>
      <c r="F49" s="216">
        <f>F48*A49</f>
        <v>0</v>
      </c>
    </row>
    <row r="50" spans="1:6" ht="15" thickBot="1" x14ac:dyDescent="0.4">
      <c r="A50" s="299"/>
      <c r="B50" s="300"/>
      <c r="C50" s="300"/>
      <c r="D50" s="300"/>
      <c r="E50" s="301"/>
      <c r="F50" s="217">
        <f>F48+F49</f>
        <v>21001073.339013197</v>
      </c>
    </row>
    <row r="51" spans="1:6" ht="15" thickBot="1" x14ac:dyDescent="0.4">
      <c r="A51" s="302"/>
      <c r="B51" s="300"/>
      <c r="C51" s="300"/>
      <c r="D51" s="300"/>
      <c r="E51" s="301"/>
      <c r="F51" s="217">
        <f>F50*A51</f>
        <v>0</v>
      </c>
    </row>
    <row r="52" spans="1:6" ht="15" thickBot="1" x14ac:dyDescent="0.4">
      <c r="A52" s="286"/>
      <c r="B52" s="286"/>
      <c r="C52" s="286"/>
      <c r="D52" s="286"/>
      <c r="E52" s="286"/>
      <c r="F52" s="217">
        <f>F50+F51</f>
        <v>21001073.339013197</v>
      </c>
    </row>
    <row r="53" spans="1:6" x14ac:dyDescent="0.35">
      <c r="F53" s="218">
        <f>F52/F3</f>
        <v>1750089.4449177664</v>
      </c>
    </row>
  </sheetData>
  <mergeCells count="10">
    <mergeCell ref="A52:E52"/>
    <mergeCell ref="F33:F41"/>
    <mergeCell ref="A42:E42"/>
    <mergeCell ref="A48:E48"/>
    <mergeCell ref="A49:E49"/>
    <mergeCell ref="A32:E32"/>
    <mergeCell ref="A1:F1"/>
    <mergeCell ref="A18:E18"/>
    <mergeCell ref="A50:E50"/>
    <mergeCell ref="A51:E51"/>
  </mergeCells>
  <dataValidations count="3">
    <dataValidation type="list" allowBlank="1" showInputMessage="1" showErrorMessage="1" sqref="A45:A46" xr:uid="{A3FCA7BA-B2BD-4947-BD5E-A5C79EC6A633}">
      <formula1>ListaTransporte</formula1>
    </dataValidation>
    <dataValidation type="list" allowBlank="1" showInputMessage="1" showErrorMessage="1" sqref="A20:A32" xr:uid="{2671C126-F07F-484D-B17B-36B71BC96A16}">
      <formula1>ListaMateriales</formula1>
    </dataValidation>
    <dataValidation type="list" allowBlank="1" showInputMessage="1" showErrorMessage="1" sqref="A3:A18" xr:uid="{3F0762D2-6D3E-4AF6-B6EC-DA11AE947D9F}">
      <formula1>ListaEquipos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E8EC-3016-4EB7-84D0-3F02F0D91E73}">
  <dimension ref="A1:F60"/>
  <sheetViews>
    <sheetView topLeftCell="A46" workbookViewId="0">
      <selection activeCell="D63" sqref="D63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3.08984375" customWidth="1"/>
    <col min="6" max="6" width="13.08984375" customWidth="1"/>
  </cols>
  <sheetData>
    <row r="1" spans="1:6" x14ac:dyDescent="0.35">
      <c r="A1" s="306" t="s">
        <v>187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6</v>
      </c>
    </row>
    <row r="4" spans="1:6" x14ac:dyDescent="0.35">
      <c r="A4" s="24" t="s">
        <v>225</v>
      </c>
      <c r="B4" s="22">
        <v>1</v>
      </c>
      <c r="C4" s="23">
        <v>1</v>
      </c>
      <c r="D4" s="24">
        <f>IFERROR(VLOOKUP(A4,[1]!TablaEquipos[#Data],2,FALSE),0)</f>
        <v>1500</v>
      </c>
      <c r="E4" s="25">
        <f t="shared" ref="E4:E9" si="0">B4*C4*D4</f>
        <v>1500</v>
      </c>
      <c r="F4" s="62"/>
    </row>
    <row r="5" spans="1:6" x14ac:dyDescent="0.35">
      <c r="A5" s="26" t="s">
        <v>226</v>
      </c>
      <c r="B5" s="22">
        <v>1</v>
      </c>
      <c r="C5" s="23">
        <v>1</v>
      </c>
      <c r="D5" s="24">
        <f>IFERROR(VLOOKUP(A5,[1]!TablaEquipos[#Data],2,FALSE),0)</f>
        <v>700</v>
      </c>
      <c r="E5" s="25">
        <f t="shared" si="0"/>
        <v>700</v>
      </c>
      <c r="F5" s="62"/>
    </row>
    <row r="6" spans="1:6" x14ac:dyDescent="0.35">
      <c r="A6" s="26" t="s">
        <v>227</v>
      </c>
      <c r="B6" s="22">
        <v>2</v>
      </c>
      <c r="C6" s="23">
        <v>1</v>
      </c>
      <c r="D6" s="24">
        <f>IFERROR(VLOOKUP(A6,[1]!TablaEquipos[#Data],2,FALSE),0)</f>
        <v>700</v>
      </c>
      <c r="E6" s="25">
        <f t="shared" si="0"/>
        <v>1400</v>
      </c>
      <c r="F6" s="62"/>
    </row>
    <row r="7" spans="1:6" x14ac:dyDescent="0.35">
      <c r="A7" s="24" t="s">
        <v>228</v>
      </c>
      <c r="B7" s="22">
        <v>1</v>
      </c>
      <c r="C7" s="23">
        <v>1</v>
      </c>
      <c r="D7" s="24">
        <f>IFERROR(VLOOKUP(A7,[1]!TablaEquipos[#Data],2,FALSE),0)</f>
        <v>1500</v>
      </c>
      <c r="E7" s="25">
        <f t="shared" si="0"/>
        <v>1500</v>
      </c>
      <c r="F7" s="62"/>
    </row>
    <row r="8" spans="1:6" x14ac:dyDescent="0.35">
      <c r="A8" s="26" t="s">
        <v>417</v>
      </c>
      <c r="B8" s="22">
        <v>1</v>
      </c>
      <c r="C8" s="23">
        <v>1</v>
      </c>
      <c r="D8" s="24">
        <f>IFERROR(VLOOKUP(A8,[1]!TablaEquipos[#Data],2,FALSE),0)</f>
        <v>20000</v>
      </c>
      <c r="E8" s="25">
        <f t="shared" si="0"/>
        <v>20000</v>
      </c>
      <c r="F8" s="62"/>
    </row>
    <row r="9" spans="1:6" x14ac:dyDescent="0.35">
      <c r="A9" s="24" t="s">
        <v>229</v>
      </c>
      <c r="B9" s="22">
        <v>1</v>
      </c>
      <c r="C9" s="23">
        <v>1</v>
      </c>
      <c r="D9" s="24">
        <f>IFERROR(VLOOKUP(A9,[1]!TablaEquipos[#Data],2,FALSE),0)</f>
        <v>1500</v>
      </c>
      <c r="E9" s="25">
        <f t="shared" si="0"/>
        <v>1500</v>
      </c>
      <c r="F9" s="62"/>
    </row>
    <row r="10" spans="1:6" x14ac:dyDescent="0.35">
      <c r="A10" s="24" t="s">
        <v>237</v>
      </c>
      <c r="B10" s="22">
        <v>1</v>
      </c>
      <c r="C10" s="23">
        <v>1</v>
      </c>
      <c r="D10" s="24">
        <f>IFERROR(VLOOKUP(A10,[1]!TablaEquipos[#Data],2,FALSE),0)</f>
        <v>1000</v>
      </c>
      <c r="E10" s="25">
        <f>B10*C10*D10</f>
        <v>1000</v>
      </c>
      <c r="F10" s="62"/>
    </row>
    <row r="11" spans="1:6" x14ac:dyDescent="0.35">
      <c r="A11" s="24" t="s">
        <v>457</v>
      </c>
      <c r="B11" s="22">
        <v>1</v>
      </c>
      <c r="C11" s="23">
        <v>1</v>
      </c>
      <c r="D11" s="24">
        <f>IFERROR(VLOOKUP(A11,[1]!TablaEquipos[#Data],2,FALSE),0)</f>
        <v>700</v>
      </c>
      <c r="E11" s="25">
        <f t="shared" ref="E11:E18" si="1">B11*C11*D11</f>
        <v>700</v>
      </c>
      <c r="F11" s="62"/>
    </row>
    <row r="12" spans="1:6" x14ac:dyDescent="0.35">
      <c r="A12" s="24" t="s">
        <v>469</v>
      </c>
      <c r="B12" s="22">
        <v>2</v>
      </c>
      <c r="C12" s="23">
        <v>1</v>
      </c>
      <c r="D12" s="24">
        <f>IFERROR(VLOOKUP(A12,[1]!TablaEquipos[#Data],2,FALSE),0)</f>
        <v>800</v>
      </c>
      <c r="E12" s="25">
        <f t="shared" si="1"/>
        <v>1600</v>
      </c>
      <c r="F12" s="62"/>
    </row>
    <row r="13" spans="1:6" x14ac:dyDescent="0.35">
      <c r="A13" s="24" t="s">
        <v>470</v>
      </c>
      <c r="B13" s="22">
        <v>1</v>
      </c>
      <c r="C13" s="23">
        <v>1</v>
      </c>
      <c r="D13" s="24">
        <f>IFERROR(VLOOKUP(A13,[1]!TablaEquipos[#Data],2,FALSE),0)</f>
        <v>800</v>
      </c>
      <c r="E13" s="25">
        <f t="shared" si="1"/>
        <v>800</v>
      </c>
      <c r="F13" s="62"/>
    </row>
    <row r="14" spans="1:6" x14ac:dyDescent="0.35">
      <c r="A14" s="24" t="s">
        <v>468</v>
      </c>
      <c r="B14" s="22">
        <v>1</v>
      </c>
      <c r="C14" s="23">
        <v>1</v>
      </c>
      <c r="D14" s="24">
        <f>IFERROR(VLOOKUP(A14,[1]!TablaEquipos[#Data],2,FALSE),0)</f>
        <v>700</v>
      </c>
      <c r="E14" s="25">
        <f t="shared" si="1"/>
        <v>700</v>
      </c>
      <c r="F14" s="62"/>
    </row>
    <row r="15" spans="1:6" x14ac:dyDescent="0.35">
      <c r="A15" s="24" t="s">
        <v>451</v>
      </c>
      <c r="B15" s="22">
        <v>1</v>
      </c>
      <c r="C15" s="23">
        <v>1</v>
      </c>
      <c r="D15" s="24">
        <f>IFERROR(VLOOKUP(A15,[1]!TablaEquipos[#Data],2,FALSE),0)</f>
        <v>700</v>
      </c>
      <c r="E15" s="25">
        <f t="shared" si="1"/>
        <v>700</v>
      </c>
      <c r="F15" s="62"/>
    </row>
    <row r="16" spans="1:6" x14ac:dyDescent="0.35">
      <c r="A16" s="24" t="s">
        <v>337</v>
      </c>
      <c r="B16" s="22">
        <v>1</v>
      </c>
      <c r="C16" s="23">
        <v>1</v>
      </c>
      <c r="D16" s="24">
        <f>IFERROR(VLOOKUP(A16,[1]!TablaEquipos[#Data],2,FALSE),0)</f>
        <v>500</v>
      </c>
      <c r="E16" s="25">
        <f t="shared" si="1"/>
        <v>500</v>
      </c>
      <c r="F16" s="62"/>
    </row>
    <row r="17" spans="1:6" x14ac:dyDescent="0.35">
      <c r="A17" s="24" t="s">
        <v>339</v>
      </c>
      <c r="B17" s="22">
        <v>1</v>
      </c>
      <c r="C17" s="23">
        <v>1</v>
      </c>
      <c r="D17" s="24">
        <f>IFERROR(VLOOKUP(A17,[1]!TablaEquipos[#Data],2,FALSE),0)</f>
        <v>40000</v>
      </c>
      <c r="E17" s="25">
        <f t="shared" si="1"/>
        <v>40000</v>
      </c>
      <c r="F17" s="62"/>
    </row>
    <row r="18" spans="1:6" x14ac:dyDescent="0.35">
      <c r="A18" s="24" t="s">
        <v>249</v>
      </c>
      <c r="B18" s="22">
        <v>1</v>
      </c>
      <c r="C18" s="23">
        <v>1</v>
      </c>
      <c r="D18" s="24">
        <f>IFERROR(VLOOKUP(A18,[1]!TablaEquipos[#Data],2,FALSE),0)</f>
        <v>40000</v>
      </c>
      <c r="E18" s="25">
        <f t="shared" si="1"/>
        <v>40000</v>
      </c>
      <c r="F18" s="62"/>
    </row>
    <row r="19" spans="1:6" ht="15" thickBot="1" x14ac:dyDescent="0.4">
      <c r="A19" s="294"/>
      <c r="B19" s="295"/>
      <c r="C19" s="295"/>
      <c r="D19" s="295"/>
      <c r="E19" s="295"/>
      <c r="F19" s="84">
        <f>SUM(E4:E18)</f>
        <v>112600</v>
      </c>
    </row>
    <row r="20" spans="1:6" x14ac:dyDescent="0.35">
      <c r="A20" s="33" t="s">
        <v>270</v>
      </c>
      <c r="B20" s="34" t="s">
        <v>83</v>
      </c>
      <c r="C20" s="45" t="s">
        <v>84</v>
      </c>
      <c r="D20" s="46" t="s">
        <v>269</v>
      </c>
      <c r="E20" s="37" t="s">
        <v>86</v>
      </c>
      <c r="F20" s="280"/>
    </row>
    <row r="21" spans="1:6" x14ac:dyDescent="0.35">
      <c r="A21" s="24" t="s">
        <v>253</v>
      </c>
      <c r="B21" s="22"/>
      <c r="C21" s="29"/>
      <c r="D21" s="27">
        <f>IFERROR(VLOOKUP(A21,[1]!TablaMateriales[#Data],2,FALSE),0)</f>
        <v>35000</v>
      </c>
      <c r="E21" s="25">
        <f>B21*D21</f>
        <v>0</v>
      </c>
      <c r="F21" s="281"/>
    </row>
    <row r="22" spans="1:6" x14ac:dyDescent="0.35">
      <c r="A22" s="30" t="s">
        <v>254</v>
      </c>
      <c r="B22" s="22">
        <v>10</v>
      </c>
      <c r="C22" s="29"/>
      <c r="D22" s="27">
        <f>IFERROR(VLOOKUP(A22,[1]!TablaMateriales[#Data],2,FALSE),0)</f>
        <v>20000</v>
      </c>
      <c r="E22" s="25">
        <f>B22*D22</f>
        <v>200000</v>
      </c>
      <c r="F22" s="281"/>
    </row>
    <row r="23" spans="1:6" x14ac:dyDescent="0.35">
      <c r="A23" s="30" t="s">
        <v>255</v>
      </c>
      <c r="B23" s="22"/>
      <c r="C23" s="29"/>
      <c r="D23" s="27">
        <f>IFERROR(VLOOKUP(A23,[1]!TablaMateriales[#Data],2,FALSE),0)</f>
        <v>50000</v>
      </c>
      <c r="E23" s="25">
        <f>B23*D23</f>
        <v>0</v>
      </c>
      <c r="F23" s="281"/>
    </row>
    <row r="24" spans="1:6" x14ac:dyDescent="0.35">
      <c r="A24" s="30" t="s">
        <v>256</v>
      </c>
      <c r="B24" s="22"/>
      <c r="C24" s="29"/>
      <c r="D24" s="27">
        <f>IFERROR(VLOOKUP(A24,[1]!TablaMateriales[#Data],2,FALSE),0)</f>
        <v>0</v>
      </c>
      <c r="E24" s="25">
        <f>B24*D24</f>
        <v>0</v>
      </c>
      <c r="F24" s="281"/>
    </row>
    <row r="25" spans="1:6" x14ac:dyDescent="0.35">
      <c r="A25" s="30" t="s">
        <v>257</v>
      </c>
      <c r="B25" s="78"/>
      <c r="C25" s="23"/>
      <c r="D25" s="27">
        <f>IFERROR(VLOOKUP(A25,[1]!TablaMateriales[#Data],2,FALSE),0)</f>
        <v>9500</v>
      </c>
      <c r="E25" s="25">
        <f>B25*D25</f>
        <v>0</v>
      </c>
      <c r="F25" s="281"/>
    </row>
    <row r="26" spans="1:6" x14ac:dyDescent="0.35">
      <c r="A26" s="30" t="s">
        <v>258</v>
      </c>
      <c r="B26" s="78"/>
      <c r="C26" s="23"/>
      <c r="D26" s="27">
        <f>IFERROR(VLOOKUP(A26,[1]!TablaMateriales[#Data],2,FALSE),0)</f>
        <v>9500</v>
      </c>
      <c r="E26" s="25">
        <f t="shared" ref="E26:E37" si="2">B26*D26</f>
        <v>0</v>
      </c>
      <c r="F26" s="281"/>
    </row>
    <row r="27" spans="1:6" x14ac:dyDescent="0.35">
      <c r="A27" s="30" t="s">
        <v>259</v>
      </c>
      <c r="B27" s="78"/>
      <c r="C27" s="23"/>
      <c r="D27" s="27">
        <f>IFERROR(VLOOKUP(A27,[1]!TablaMateriales[#Data],2,FALSE),0)</f>
        <v>15000</v>
      </c>
      <c r="E27" s="25">
        <f t="shared" si="2"/>
        <v>0</v>
      </c>
      <c r="F27" s="281"/>
    </row>
    <row r="28" spans="1:6" x14ac:dyDescent="0.35">
      <c r="A28" s="30" t="s">
        <v>260</v>
      </c>
      <c r="B28" s="78"/>
      <c r="C28" s="23"/>
      <c r="D28" s="27">
        <f>IFERROR(VLOOKUP(A28,[1]!TablaMateriales[#Data],2,FALSE),0)</f>
        <v>20000</v>
      </c>
      <c r="E28" s="25">
        <f t="shared" si="2"/>
        <v>0</v>
      </c>
      <c r="F28" s="281"/>
    </row>
    <row r="29" spans="1:6" ht="23" x14ac:dyDescent="0.35">
      <c r="A29" s="79" t="s">
        <v>261</v>
      </c>
      <c r="B29" s="78"/>
      <c r="C29" s="23"/>
      <c r="D29" s="27">
        <f>IFERROR(VLOOKUP(A29,[1]!TablaMateriales[#Data],2,FALSE),0)</f>
        <v>55000</v>
      </c>
      <c r="E29" s="25">
        <f t="shared" si="2"/>
        <v>0</v>
      </c>
      <c r="F29" s="281"/>
    </row>
    <row r="30" spans="1:6" x14ac:dyDescent="0.35">
      <c r="A30" s="30" t="s">
        <v>262</v>
      </c>
      <c r="B30" s="78"/>
      <c r="C30" s="23"/>
      <c r="D30" s="27">
        <f>IFERROR(VLOOKUP(A30,[1]!TablaMateriales[#Data],2,FALSE),0)</f>
        <v>15900</v>
      </c>
      <c r="E30" s="25">
        <f t="shared" si="2"/>
        <v>0</v>
      </c>
      <c r="F30" s="281"/>
    </row>
    <row r="31" spans="1:6" x14ac:dyDescent="0.35">
      <c r="A31" s="31" t="s">
        <v>263</v>
      </c>
      <c r="B31" s="78"/>
      <c r="C31" s="23"/>
      <c r="D31" s="27">
        <f>IFERROR(VLOOKUP(A31,[1]!TablaMateriales[#Data],2,FALSE),0)</f>
        <v>14000</v>
      </c>
      <c r="E31" s="25">
        <f t="shared" si="2"/>
        <v>0</v>
      </c>
      <c r="F31" s="281"/>
    </row>
    <row r="32" spans="1:6" x14ac:dyDescent="0.35">
      <c r="A32" s="31" t="s">
        <v>264</v>
      </c>
      <c r="B32" s="78"/>
      <c r="C32" s="23"/>
      <c r="D32" s="27">
        <f>IFERROR(VLOOKUP(A32,[1]!TablaMateriales[#Data],2,FALSE),0)</f>
        <v>3800</v>
      </c>
      <c r="E32" s="27">
        <f t="shared" si="2"/>
        <v>0</v>
      </c>
      <c r="F32" s="282"/>
    </row>
    <row r="33" spans="1:6" ht="23" x14ac:dyDescent="0.35">
      <c r="A33" s="31" t="s">
        <v>464</v>
      </c>
      <c r="B33" s="78">
        <v>1</v>
      </c>
      <c r="C33" s="23"/>
      <c r="D33" s="27">
        <v>805421</v>
      </c>
      <c r="E33" s="27">
        <f t="shared" si="2"/>
        <v>805421</v>
      </c>
      <c r="F33" s="282"/>
    </row>
    <row r="34" spans="1:6" x14ac:dyDescent="0.35">
      <c r="A34" s="31" t="s">
        <v>465</v>
      </c>
      <c r="B34" s="78">
        <v>7</v>
      </c>
      <c r="C34" s="23"/>
      <c r="D34" s="27">
        <f>IFERROR(VLOOKUP(A34,[1]!TablaMateriales[#Data],2,FALSE),0)</f>
        <v>114000</v>
      </c>
      <c r="E34" s="27">
        <f t="shared" si="2"/>
        <v>798000</v>
      </c>
      <c r="F34" s="282"/>
    </row>
    <row r="35" spans="1:6" ht="23" x14ac:dyDescent="0.35">
      <c r="A35" s="31" t="s">
        <v>466</v>
      </c>
      <c r="B35" s="78">
        <v>7</v>
      </c>
      <c r="C35" s="23"/>
      <c r="D35" s="27">
        <f>IFERROR(VLOOKUP(A35,[1]!TablaMateriales[#Data],2,FALSE),0)</f>
        <v>150000</v>
      </c>
      <c r="E35" s="27">
        <f t="shared" si="2"/>
        <v>1050000</v>
      </c>
      <c r="F35" s="282"/>
    </row>
    <row r="36" spans="1:6" ht="23" x14ac:dyDescent="0.35">
      <c r="A36" s="31" t="s">
        <v>467</v>
      </c>
      <c r="B36" s="78">
        <v>1</v>
      </c>
      <c r="C36" s="23"/>
      <c r="D36" s="27">
        <f>IFERROR(VLOOKUP(A36,[1]!TablaMateriales[#Data],2,FALSE),0)</f>
        <v>12000</v>
      </c>
      <c r="E36" s="27">
        <f t="shared" si="2"/>
        <v>12000</v>
      </c>
      <c r="F36" s="282"/>
    </row>
    <row r="37" spans="1:6" ht="23.5" thickBot="1" x14ac:dyDescent="0.4">
      <c r="A37" s="31" t="s">
        <v>409</v>
      </c>
      <c r="B37" s="212">
        <v>0.7</v>
      </c>
      <c r="C37" s="23"/>
      <c r="D37" s="27">
        <f>IFERROR(VLOOKUP(A37,[1]!TablaMateriales[#Data],2,FALSE),0)</f>
        <v>53000</v>
      </c>
      <c r="E37" s="27">
        <f t="shared" si="2"/>
        <v>37100</v>
      </c>
      <c r="F37" s="282"/>
    </row>
    <row r="38" spans="1:6" ht="15" thickBot="1" x14ac:dyDescent="0.4">
      <c r="A38" s="296"/>
      <c r="B38" s="297"/>
      <c r="C38" s="297"/>
      <c r="D38" s="297"/>
      <c r="E38" s="298"/>
      <c r="F38" s="28">
        <f>SUM(E21:E37)</f>
        <v>2902521</v>
      </c>
    </row>
    <row r="39" spans="1:6" x14ac:dyDescent="0.35">
      <c r="A39" s="33" t="s">
        <v>88</v>
      </c>
      <c r="B39" s="34" t="s">
        <v>83</v>
      </c>
      <c r="C39" s="35" t="s">
        <v>84</v>
      </c>
      <c r="D39" s="36" t="s">
        <v>89</v>
      </c>
      <c r="E39" s="37" t="s">
        <v>86</v>
      </c>
      <c r="F39" s="280"/>
    </row>
    <row r="40" spans="1:6" x14ac:dyDescent="0.35">
      <c r="A40" s="38" t="s">
        <v>272</v>
      </c>
      <c r="B40" s="34">
        <v>1</v>
      </c>
      <c r="C40" s="35">
        <v>1.5</v>
      </c>
      <c r="D40" s="39">
        <f>'tabla salarial'!AS4</f>
        <v>555393.74067333317</v>
      </c>
      <c r="E40" s="37">
        <f>B40*C40*D40</f>
        <v>833090.61100999976</v>
      </c>
      <c r="F40" s="281"/>
    </row>
    <row r="41" spans="1:6" x14ac:dyDescent="0.35">
      <c r="A41" s="107" t="s">
        <v>273</v>
      </c>
      <c r="B41" s="20">
        <v>1</v>
      </c>
      <c r="C41" s="40">
        <v>1.5</v>
      </c>
      <c r="D41" s="39">
        <f>'tabla salarial'!AS4</f>
        <v>555393.74067333317</v>
      </c>
      <c r="E41" s="21">
        <f t="shared" ref="E41:E47" si="3">B41*C41*D41</f>
        <v>833090.61100999976</v>
      </c>
      <c r="F41" s="281"/>
    </row>
    <row r="42" spans="1:6" x14ac:dyDescent="0.35">
      <c r="A42" s="107" t="s">
        <v>277</v>
      </c>
      <c r="B42" s="20">
        <v>1</v>
      </c>
      <c r="C42" s="35"/>
      <c r="D42" s="39">
        <f>'tabla salarial'!AS4</f>
        <v>555393.74067333317</v>
      </c>
      <c r="E42" s="21">
        <f>B42*C42*D42</f>
        <v>0</v>
      </c>
      <c r="F42" s="281"/>
    </row>
    <row r="43" spans="1:6" x14ac:dyDescent="0.35">
      <c r="A43" s="107" t="s">
        <v>278</v>
      </c>
      <c r="B43" s="20">
        <v>1.5</v>
      </c>
      <c r="C43" s="35"/>
      <c r="D43" s="39">
        <f>'tabla salarial'!AS6</f>
        <v>407197.80492666672</v>
      </c>
      <c r="E43" s="21">
        <f>B43*C43*D43</f>
        <v>0</v>
      </c>
      <c r="F43" s="281"/>
    </row>
    <row r="44" spans="1:6" x14ac:dyDescent="0.35">
      <c r="A44" s="107" t="s">
        <v>276</v>
      </c>
      <c r="B44" s="20">
        <v>2</v>
      </c>
      <c r="C44" s="35"/>
      <c r="D44" s="39">
        <f>'tabla salarial'!AS6</f>
        <v>407197.80492666672</v>
      </c>
      <c r="E44" s="21">
        <f>B44*C44*D44</f>
        <v>0</v>
      </c>
      <c r="F44" s="281"/>
    </row>
    <row r="45" spans="1:6" x14ac:dyDescent="0.35">
      <c r="A45" s="107" t="s">
        <v>274</v>
      </c>
      <c r="B45" s="20">
        <v>1</v>
      </c>
      <c r="C45" s="35">
        <v>1.5</v>
      </c>
      <c r="D45" s="39">
        <f>'tabla salarial'!AS7</f>
        <v>371571.3297066667</v>
      </c>
      <c r="E45" s="21">
        <f t="shared" si="3"/>
        <v>557356.99456000002</v>
      </c>
      <c r="F45" s="281"/>
    </row>
    <row r="46" spans="1:6" x14ac:dyDescent="0.35">
      <c r="A46" s="107" t="s">
        <v>223</v>
      </c>
      <c r="B46" s="20">
        <v>1</v>
      </c>
      <c r="C46" s="35">
        <v>1.5</v>
      </c>
      <c r="D46" s="39">
        <f>'tabla salarial'!AS8</f>
        <v>355821.87609999999</v>
      </c>
      <c r="E46" s="21">
        <f>B46*C46*D46</f>
        <v>533732.81414999999</v>
      </c>
      <c r="F46" s="281"/>
    </row>
    <row r="47" spans="1:6" x14ac:dyDescent="0.35">
      <c r="A47" s="107" t="s">
        <v>275</v>
      </c>
      <c r="B47" s="20">
        <v>2</v>
      </c>
      <c r="C47" s="40">
        <v>1.5</v>
      </c>
      <c r="D47" s="39">
        <f>'tabla salarial'!AS9</f>
        <v>382109.06042666658</v>
      </c>
      <c r="E47" s="21">
        <f t="shared" si="3"/>
        <v>1146327.1812799997</v>
      </c>
      <c r="F47" s="281"/>
    </row>
    <row r="48" spans="1:6" x14ac:dyDescent="0.35">
      <c r="A48" s="287">
        <v>3</v>
      </c>
      <c r="B48" s="287"/>
      <c r="C48" s="287"/>
      <c r="D48" s="287"/>
      <c r="E48" s="287"/>
      <c r="F48" s="42">
        <f>SUM(E40:E47)</f>
        <v>3903598.2120099994</v>
      </c>
    </row>
    <row r="49" spans="1:6" x14ac:dyDescent="0.35">
      <c r="A49" s="33" t="s">
        <v>279</v>
      </c>
      <c r="B49" s="34" t="s">
        <v>83</v>
      </c>
      <c r="C49" s="35" t="s">
        <v>84</v>
      </c>
      <c r="D49" s="36" t="s">
        <v>269</v>
      </c>
      <c r="E49" s="37" t="s">
        <v>86</v>
      </c>
      <c r="F49" s="283"/>
    </row>
    <row r="50" spans="1:6" x14ac:dyDescent="0.35">
      <c r="A50" s="108" t="s">
        <v>240</v>
      </c>
      <c r="B50" s="108">
        <v>1</v>
      </c>
      <c r="C50" s="108">
        <v>1</v>
      </c>
      <c r="D50" s="108">
        <f>IFERROR(VLOOKUP(A50,[1]!TablaTransporte[#Data],2,FALSE),0)</f>
        <v>550000</v>
      </c>
      <c r="E50" s="110">
        <f>B50*C50*D50</f>
        <v>550000</v>
      </c>
      <c r="F50" s="284"/>
    </row>
    <row r="51" spans="1:6" x14ac:dyDescent="0.35">
      <c r="A51" s="108" t="s">
        <v>381</v>
      </c>
      <c r="B51" s="108">
        <v>1</v>
      </c>
      <c r="C51" s="108">
        <v>1</v>
      </c>
      <c r="D51" s="108">
        <f>IFERROR(VLOOKUP(A51,[1]!TablaTransporte[#Data],2,FALSE),0)</f>
        <v>600000</v>
      </c>
      <c r="E51" s="110">
        <f>B51*C51*D51</f>
        <v>600000</v>
      </c>
      <c r="F51" s="284"/>
    </row>
    <row r="52" spans="1:6" x14ac:dyDescent="0.35">
      <c r="A52" s="108"/>
      <c r="B52" s="108"/>
      <c r="C52" s="108"/>
      <c r="D52" s="108"/>
      <c r="E52" s="110"/>
      <c r="F52" s="284"/>
    </row>
    <row r="53" spans="1:6" x14ac:dyDescent="0.35">
      <c r="A53" s="41"/>
      <c r="B53" s="41"/>
      <c r="C53" s="41"/>
      <c r="D53" s="41">
        <f>IFERROR(VLOOKUP(A53,[1]!TablaTransporte[#Data],2,FALSE),0)</f>
        <v>0</v>
      </c>
      <c r="E53" s="41"/>
      <c r="F53" s="285"/>
    </row>
    <row r="54" spans="1:6" x14ac:dyDescent="0.35">
      <c r="A54" s="43"/>
      <c r="B54" s="43"/>
      <c r="C54" s="43"/>
      <c r="D54" s="43"/>
      <c r="E54" s="43"/>
      <c r="F54" s="42">
        <f>E51</f>
        <v>600000</v>
      </c>
    </row>
    <row r="55" spans="1:6" x14ac:dyDescent="0.35">
      <c r="A55" s="288"/>
      <c r="B55" s="289"/>
      <c r="C55" s="289"/>
      <c r="D55" s="289"/>
      <c r="E55" s="290"/>
      <c r="F55" s="42">
        <f>F19+F38+F48+F54</f>
        <v>7518719.2120099999</v>
      </c>
    </row>
    <row r="56" spans="1:6" ht="15" thickBot="1" x14ac:dyDescent="0.4">
      <c r="A56" s="291">
        <v>0.15</v>
      </c>
      <c r="B56" s="292"/>
      <c r="C56" s="292"/>
      <c r="D56" s="292"/>
      <c r="E56" s="293"/>
      <c r="F56" s="44">
        <f>F55*A56</f>
        <v>1127807.8818015</v>
      </c>
    </row>
    <row r="57" spans="1:6" ht="15" thickBot="1" x14ac:dyDescent="0.4">
      <c r="A57" s="299"/>
      <c r="B57" s="300"/>
      <c r="C57" s="300"/>
      <c r="D57" s="300"/>
      <c r="E57" s="301"/>
      <c r="F57" s="28">
        <f>F55+F56</f>
        <v>8646527.0938115008</v>
      </c>
    </row>
    <row r="58" spans="1:6" ht="15" thickBot="1" x14ac:dyDescent="0.4">
      <c r="A58" s="302">
        <v>0.1</v>
      </c>
      <c r="B58" s="300"/>
      <c r="C58" s="300"/>
      <c r="D58" s="300"/>
      <c r="E58" s="301"/>
      <c r="F58" s="28">
        <f>F57*A58</f>
        <v>864652.70938115008</v>
      </c>
    </row>
    <row r="59" spans="1:6" ht="15" thickBot="1" x14ac:dyDescent="0.4">
      <c r="A59" s="286"/>
      <c r="B59" s="286"/>
      <c r="C59" s="286"/>
      <c r="D59" s="286"/>
      <c r="E59" s="286"/>
      <c r="F59" s="28">
        <f>F57+F58</f>
        <v>9511179.8031926509</v>
      </c>
    </row>
    <row r="60" spans="1:6" x14ac:dyDescent="0.35">
      <c r="F60" s="80">
        <f>F59/F3</f>
        <v>1585196.6338654419</v>
      </c>
    </row>
  </sheetData>
  <mergeCells count="12">
    <mergeCell ref="A58:E58"/>
    <mergeCell ref="A59:E59"/>
    <mergeCell ref="F39:F47"/>
    <mergeCell ref="A48:E48"/>
    <mergeCell ref="F49:F53"/>
    <mergeCell ref="A55:E55"/>
    <mergeCell ref="A56:E56"/>
    <mergeCell ref="A38:E38"/>
    <mergeCell ref="A1:F1"/>
    <mergeCell ref="A19:E19"/>
    <mergeCell ref="F20:F37"/>
    <mergeCell ref="A57:E57"/>
  </mergeCells>
  <dataValidations count="3">
    <dataValidation type="list" allowBlank="1" showInputMessage="1" showErrorMessage="1" sqref="A21:A38" xr:uid="{25D378D1-8009-4234-8076-69458D7974EE}">
      <formula1>ListaMateriales</formula1>
    </dataValidation>
    <dataValidation type="list" allowBlank="1" showInputMessage="1" showErrorMessage="1" sqref="A51:A53" xr:uid="{80890804-6462-445F-8A8B-F4A1ABAD659C}">
      <formula1>ListaTransporte</formula1>
    </dataValidation>
    <dataValidation type="list" allowBlank="1" showInputMessage="1" showErrorMessage="1" sqref="A3:A19" xr:uid="{C8446DBF-ADD7-45F9-925C-450059A4CF05}">
      <formula1>ListaEquipos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1E011-F5C7-4FCE-85AE-39E207F06D3C}">
  <sheetPr>
    <tabColor rgb="FF00B050"/>
  </sheetPr>
  <dimension ref="A1:F45"/>
  <sheetViews>
    <sheetView workbookViewId="0">
      <selection activeCell="A13" sqref="A13:B13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4.26953125" customWidth="1"/>
  </cols>
  <sheetData>
    <row r="1" spans="1:6" x14ac:dyDescent="0.35">
      <c r="A1" s="306" t="s">
        <v>44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 t="s">
        <v>469</v>
      </c>
      <c r="B3" s="34">
        <v>2</v>
      </c>
      <c r="C3" s="45">
        <v>0.5</v>
      </c>
      <c r="D3" s="24">
        <f>IFERROR(VLOOKUP(A3,[1]!TablaEquipos[#Data],2,FALSE),0)</f>
        <v>800</v>
      </c>
      <c r="E3" s="25">
        <f>B3*C3*D3</f>
        <v>800</v>
      </c>
      <c r="F3" s="77">
        <v>18</v>
      </c>
    </row>
    <row r="4" spans="1:6" x14ac:dyDescent="0.35">
      <c r="A4" s="26" t="s">
        <v>432</v>
      </c>
      <c r="B4" s="22">
        <v>2</v>
      </c>
      <c r="C4" s="45">
        <v>0.5</v>
      </c>
      <c r="D4" s="24">
        <f>IFERROR(VLOOKUP(A4,[1]!TablaEquipos[#Data],2,FALSE),0)</f>
        <v>500</v>
      </c>
      <c r="E4" s="25">
        <f>B4*C4*D4</f>
        <v>500</v>
      </c>
      <c r="F4" s="62"/>
    </row>
    <row r="5" spans="1:6" x14ac:dyDescent="0.35">
      <c r="A5" s="26" t="s">
        <v>226</v>
      </c>
      <c r="B5" s="22">
        <v>1</v>
      </c>
      <c r="C5" s="45">
        <v>0.5</v>
      </c>
      <c r="D5" s="24">
        <f>IFERROR(VLOOKUP(A5,[1]!TablaEquipos[#Data],2,FALSE),0)</f>
        <v>700</v>
      </c>
      <c r="E5" s="25">
        <f>B5*C5*D5</f>
        <v>350</v>
      </c>
      <c r="F5" s="62"/>
    </row>
    <row r="6" spans="1:6" x14ac:dyDescent="0.35">
      <c r="A6" s="24"/>
      <c r="B6" s="22"/>
      <c r="C6" s="45"/>
      <c r="D6" s="24"/>
      <c r="E6" s="25"/>
      <c r="F6" s="62"/>
    </row>
    <row r="7" spans="1:6" x14ac:dyDescent="0.35">
      <c r="A7" s="24"/>
      <c r="B7" s="22"/>
      <c r="C7" s="23"/>
      <c r="D7" s="24">
        <f>IFERROR(VLOOKUP(A7,[1]!TablaEquipos[#Data],2,FALSE),0)</f>
        <v>0</v>
      </c>
      <c r="E7" s="25"/>
      <c r="F7" s="62"/>
    </row>
    <row r="8" spans="1:6" x14ac:dyDescent="0.35">
      <c r="A8" s="24"/>
      <c r="B8" s="22"/>
      <c r="C8" s="23"/>
      <c r="D8" s="24">
        <f>IFERROR(VLOOKUP(A8,[1]!TablaEquipos[#Data],2,FALSE),0)</f>
        <v>0</v>
      </c>
      <c r="E8" s="25"/>
      <c r="F8" s="62"/>
    </row>
    <row r="9" spans="1:6" ht="15" thickBot="1" x14ac:dyDescent="0.4">
      <c r="A9" s="294"/>
      <c r="B9" s="295"/>
      <c r="C9" s="295"/>
      <c r="D9" s="295"/>
      <c r="E9" s="295"/>
      <c r="F9" s="84">
        <f>SUM(E3:E8)</f>
        <v>1650</v>
      </c>
    </row>
    <row r="10" spans="1:6" x14ac:dyDescent="0.35">
      <c r="A10" s="33" t="s">
        <v>270</v>
      </c>
      <c r="B10" s="34" t="s">
        <v>83</v>
      </c>
      <c r="C10" s="45" t="s">
        <v>84</v>
      </c>
      <c r="D10" s="46" t="s">
        <v>269</v>
      </c>
      <c r="E10" s="37" t="s">
        <v>86</v>
      </c>
      <c r="F10" s="168"/>
    </row>
    <row r="11" spans="1:6" x14ac:dyDescent="0.35">
      <c r="A11" s="24" t="s">
        <v>471</v>
      </c>
      <c r="B11" s="22">
        <v>7</v>
      </c>
      <c r="C11" s="29"/>
      <c r="D11" s="27">
        <f>IFERROR(VLOOKUP(A11,[1]!TablaMateriales[#Data],2,FALSE),0)</f>
        <v>4300</v>
      </c>
      <c r="E11" s="25">
        <f t="shared" ref="E11:E17" si="0">B11*D11</f>
        <v>30100</v>
      </c>
      <c r="F11" s="155"/>
    </row>
    <row r="12" spans="1:6" x14ac:dyDescent="0.35">
      <c r="A12" s="30" t="s">
        <v>254</v>
      </c>
      <c r="B12" s="22">
        <v>5</v>
      </c>
      <c r="C12" s="29"/>
      <c r="D12" s="27">
        <f>IFERROR(VLOOKUP(A12,[1]!TablaMateriales[#Data],2,FALSE),0)</f>
        <v>20000</v>
      </c>
      <c r="E12" s="25">
        <f t="shared" si="0"/>
        <v>100000</v>
      </c>
      <c r="F12" s="155"/>
    </row>
    <row r="13" spans="1:6" x14ac:dyDescent="0.35">
      <c r="A13" s="30" t="s">
        <v>261</v>
      </c>
      <c r="B13" s="212">
        <v>0.3</v>
      </c>
      <c r="C13" s="23"/>
      <c r="D13" s="27">
        <f>IFERROR(VLOOKUP(A13,[1]!TablaMateriales[#Data],2,FALSE),0)</f>
        <v>55000</v>
      </c>
      <c r="E13" s="25">
        <f t="shared" si="0"/>
        <v>16500</v>
      </c>
      <c r="F13" s="155"/>
    </row>
    <row r="14" spans="1:6" x14ac:dyDescent="0.35">
      <c r="A14" s="79"/>
      <c r="B14" s="78"/>
      <c r="C14" s="23"/>
      <c r="D14" s="27">
        <f>IFERROR(VLOOKUP(A14,[1]!TablaMateriales[#Data],2,FALSE),0)</f>
        <v>0</v>
      </c>
      <c r="E14" s="25">
        <f t="shared" si="0"/>
        <v>0</v>
      </c>
      <c r="F14" s="155"/>
    </row>
    <row r="15" spans="1:6" x14ac:dyDescent="0.35">
      <c r="A15" s="30"/>
      <c r="B15" s="78"/>
      <c r="C15" s="23"/>
      <c r="D15" s="27">
        <f>IFERROR(VLOOKUP(A15,[1]!TablaMateriales[#Data],2,FALSE),0)</f>
        <v>0</v>
      </c>
      <c r="E15" s="25">
        <f t="shared" si="0"/>
        <v>0</v>
      </c>
      <c r="F15" s="155"/>
    </row>
    <row r="16" spans="1:6" x14ac:dyDescent="0.35">
      <c r="A16" s="31"/>
      <c r="B16" s="78"/>
      <c r="C16" s="23"/>
      <c r="D16" s="27">
        <f>IFERROR(VLOOKUP(A16,[1]!TablaMateriales[#Data],2,FALSE),0)</f>
        <v>0</v>
      </c>
      <c r="E16" s="25">
        <f t="shared" si="0"/>
        <v>0</v>
      </c>
      <c r="F16" s="155"/>
    </row>
    <row r="17" spans="1:6" x14ac:dyDescent="0.35">
      <c r="A17" s="31"/>
      <c r="B17" s="78"/>
      <c r="C17" s="23"/>
      <c r="D17" s="27">
        <f>IFERROR(VLOOKUP(A17,[1]!TablaMateriales[#Data],2,FALSE),0)</f>
        <v>0</v>
      </c>
      <c r="E17" s="27">
        <f t="shared" si="0"/>
        <v>0</v>
      </c>
      <c r="F17" s="173"/>
    </row>
    <row r="18" spans="1:6" x14ac:dyDescent="0.35">
      <c r="A18" s="31"/>
      <c r="B18" s="78"/>
      <c r="C18" s="23"/>
      <c r="D18" s="27">
        <f>IFERROR(VLOOKUP(A18,[1]!TablaMateriales[#Data],2,FALSE),0)</f>
        <v>0</v>
      </c>
      <c r="E18" s="27"/>
      <c r="F18" s="173"/>
    </row>
    <row r="19" spans="1:6" x14ac:dyDescent="0.35">
      <c r="A19" s="31"/>
      <c r="B19" s="78"/>
      <c r="C19" s="23"/>
      <c r="D19" s="27">
        <f>IFERROR(VLOOKUP(A19,[1]!TablaMateriales[#Data],2,FALSE),0)</f>
        <v>0</v>
      </c>
      <c r="E19" s="27"/>
      <c r="F19" s="173"/>
    </row>
    <row r="20" spans="1:6" x14ac:dyDescent="0.35">
      <c r="A20" s="31"/>
      <c r="B20" s="78"/>
      <c r="C20" s="23"/>
      <c r="D20" s="27">
        <f>IFERROR(VLOOKUP(A20,[1]!TablaMateriales[#Data],2,FALSE),0)</f>
        <v>0</v>
      </c>
      <c r="E20" s="27"/>
      <c r="F20" s="173"/>
    </row>
    <row r="21" spans="1:6" x14ac:dyDescent="0.35">
      <c r="A21" s="31"/>
      <c r="B21" s="78"/>
      <c r="C21" s="23"/>
      <c r="D21" s="27">
        <f>IFERROR(VLOOKUP(A21,[1]!TablaMateriales[#Data],2,FALSE),0)</f>
        <v>0</v>
      </c>
      <c r="E21" s="27"/>
      <c r="F21" s="173"/>
    </row>
    <row r="22" spans="1:6" ht="15" thickBot="1" x14ac:dyDescent="0.4">
      <c r="A22" s="31"/>
      <c r="B22" s="78"/>
      <c r="C22" s="23"/>
      <c r="D22" s="27">
        <f>IFERROR(VLOOKUP(A22,[1]!TablaMateriales[#Data],2,FALSE),0)</f>
        <v>0</v>
      </c>
      <c r="E22" s="27"/>
      <c r="F22" s="173"/>
    </row>
    <row r="23" spans="1:6" ht="15" thickBot="1" x14ac:dyDescent="0.4">
      <c r="A23" s="296"/>
      <c r="B23" s="297"/>
      <c r="C23" s="297"/>
      <c r="D23" s="297"/>
      <c r="E23" s="298"/>
      <c r="F23" s="28">
        <f>SUM(E11:E22)</f>
        <v>146600</v>
      </c>
    </row>
    <row r="24" spans="1:6" x14ac:dyDescent="0.35">
      <c r="A24" s="33" t="s">
        <v>88</v>
      </c>
      <c r="B24" s="34" t="s">
        <v>83</v>
      </c>
      <c r="C24" s="35" t="s">
        <v>84</v>
      </c>
      <c r="D24" s="36" t="s">
        <v>89</v>
      </c>
      <c r="E24" s="37" t="s">
        <v>86</v>
      </c>
      <c r="F24" s="280"/>
    </row>
    <row r="25" spans="1:6" x14ac:dyDescent="0.35">
      <c r="A25" s="38" t="s">
        <v>272</v>
      </c>
      <c r="B25" s="34">
        <v>1</v>
      </c>
      <c r="C25" s="35">
        <v>0.44</v>
      </c>
      <c r="D25" s="39">
        <f>'tabla salarial'!AS4</f>
        <v>555393.74067333317</v>
      </c>
      <c r="E25" s="37">
        <f>B25*C25*D25</f>
        <v>244373.2458962666</v>
      </c>
      <c r="F25" s="281"/>
    </row>
    <row r="26" spans="1:6" x14ac:dyDescent="0.35">
      <c r="A26" s="107" t="s">
        <v>273</v>
      </c>
      <c r="B26" s="20">
        <v>1</v>
      </c>
      <c r="C26" s="40">
        <v>0.44</v>
      </c>
      <c r="D26" s="39">
        <f>'tabla salarial'!AS4</f>
        <v>555393.74067333317</v>
      </c>
      <c r="E26" s="21">
        <f t="shared" ref="E26:E32" si="1">B26*C26*D26</f>
        <v>244373.2458962666</v>
      </c>
      <c r="F26" s="281"/>
    </row>
    <row r="27" spans="1:6" x14ac:dyDescent="0.35">
      <c r="A27" s="107" t="s">
        <v>277</v>
      </c>
      <c r="B27" s="20">
        <v>1</v>
      </c>
      <c r="C27" s="35"/>
      <c r="D27" s="39">
        <f>'tabla salarial'!AS4</f>
        <v>555393.74067333317</v>
      </c>
      <c r="E27" s="21">
        <f>B27*C27*D27</f>
        <v>0</v>
      </c>
      <c r="F27" s="281"/>
    </row>
    <row r="28" spans="1:6" x14ac:dyDescent="0.35">
      <c r="A28" s="107" t="s">
        <v>278</v>
      </c>
      <c r="B28" s="20">
        <v>1.5</v>
      </c>
      <c r="C28" s="35"/>
      <c r="D28" s="39">
        <f>'tabla salarial'!AS6</f>
        <v>407197.80492666672</v>
      </c>
      <c r="E28" s="21">
        <f>B28*C28*D28</f>
        <v>0</v>
      </c>
      <c r="F28" s="281"/>
    </row>
    <row r="29" spans="1:6" x14ac:dyDescent="0.35">
      <c r="A29" s="107" t="s">
        <v>276</v>
      </c>
      <c r="B29" s="20">
        <v>2</v>
      </c>
      <c r="C29" s="35"/>
      <c r="D29" s="39">
        <f>'tabla salarial'!AS6</f>
        <v>407197.80492666672</v>
      </c>
      <c r="E29" s="21">
        <f>B29*C29*D29</f>
        <v>0</v>
      </c>
      <c r="F29" s="281"/>
    </row>
    <row r="30" spans="1:6" x14ac:dyDescent="0.35">
      <c r="A30" s="107" t="s">
        <v>274</v>
      </c>
      <c r="B30" s="20">
        <v>1</v>
      </c>
      <c r="C30" s="35">
        <v>0.44</v>
      </c>
      <c r="D30" s="39">
        <f>'tabla salarial'!AS7</f>
        <v>371571.3297066667</v>
      </c>
      <c r="E30" s="21">
        <f t="shared" si="1"/>
        <v>163491.38507093335</v>
      </c>
      <c r="F30" s="281"/>
    </row>
    <row r="31" spans="1:6" x14ac:dyDescent="0.35">
      <c r="A31" s="107" t="s">
        <v>223</v>
      </c>
      <c r="B31" s="20">
        <v>1</v>
      </c>
      <c r="C31" s="35">
        <v>0.44</v>
      </c>
      <c r="D31" s="39">
        <f>'tabla salarial'!AS8</f>
        <v>355821.87609999999</v>
      </c>
      <c r="E31" s="21">
        <f>B31*C31*D31</f>
        <v>156561.62548399999</v>
      </c>
      <c r="F31" s="281"/>
    </row>
    <row r="32" spans="1:6" x14ac:dyDescent="0.35">
      <c r="A32" s="107" t="s">
        <v>275</v>
      </c>
      <c r="B32" s="20">
        <v>2</v>
      </c>
      <c r="C32" s="40">
        <v>0.44</v>
      </c>
      <c r="D32" s="39">
        <f>'tabla salarial'!AS9</f>
        <v>382109.06042666658</v>
      </c>
      <c r="E32" s="21">
        <f t="shared" si="1"/>
        <v>336255.97317546658</v>
      </c>
      <c r="F32" s="281"/>
    </row>
    <row r="33" spans="1:6" x14ac:dyDescent="0.35">
      <c r="A33" s="287">
        <v>3</v>
      </c>
      <c r="B33" s="287"/>
      <c r="C33" s="287"/>
      <c r="D33" s="287"/>
      <c r="E33" s="287"/>
      <c r="F33" s="42">
        <f>SUM(E25:E32)</f>
        <v>1145055.4755229331</v>
      </c>
    </row>
    <row r="34" spans="1:6" x14ac:dyDescent="0.35">
      <c r="A34" s="33" t="s">
        <v>279</v>
      </c>
      <c r="B34" s="34" t="s">
        <v>83</v>
      </c>
      <c r="C34" s="35" t="s">
        <v>84</v>
      </c>
      <c r="D34" s="36" t="s">
        <v>269</v>
      </c>
      <c r="E34" s="37" t="s">
        <v>86</v>
      </c>
      <c r="F34" s="283"/>
    </row>
    <row r="35" spans="1:6" x14ac:dyDescent="0.35">
      <c r="A35" s="108" t="s">
        <v>240</v>
      </c>
      <c r="B35" s="108">
        <v>1</v>
      </c>
      <c r="C35" s="108">
        <v>0.1</v>
      </c>
      <c r="D35" s="108">
        <f>IFERROR(VLOOKUP(A35,[1]!TablaTransporte[#Data],2,FALSE),0)</f>
        <v>550000</v>
      </c>
      <c r="E35" s="110">
        <f>B35*C35*D35</f>
        <v>55000</v>
      </c>
      <c r="F35" s="284"/>
    </row>
    <row r="36" spans="1:6" x14ac:dyDescent="0.35">
      <c r="A36" s="108" t="s">
        <v>381</v>
      </c>
      <c r="B36" s="108">
        <v>1</v>
      </c>
      <c r="C36" s="108">
        <v>0.33</v>
      </c>
      <c r="D36" s="108">
        <f>IFERROR(VLOOKUP(A36,[1]!TablaTransporte[#Data],2,FALSE),0)</f>
        <v>600000</v>
      </c>
      <c r="E36" s="108">
        <f>B36*C36*D36</f>
        <v>198000</v>
      </c>
      <c r="F36" s="284"/>
    </row>
    <row r="37" spans="1:6" x14ac:dyDescent="0.35">
      <c r="A37" s="41"/>
      <c r="B37" s="41"/>
      <c r="C37" s="41"/>
      <c r="D37" s="41">
        <f>IFERROR(VLOOKUP(A37,[1]!TablaTransporte[#Data],2,FALSE),0)</f>
        <v>0</v>
      </c>
      <c r="E37" s="41"/>
      <c r="F37" s="284"/>
    </row>
    <row r="38" spans="1:6" x14ac:dyDescent="0.35">
      <c r="A38" s="41"/>
      <c r="B38" s="41"/>
      <c r="C38" s="41"/>
      <c r="D38" s="41">
        <f>IFERROR(VLOOKUP(A38,[1]!TablaTransporte[#Data],2,FALSE),0)</f>
        <v>0</v>
      </c>
      <c r="E38" s="41"/>
      <c r="F38" s="285"/>
    </row>
    <row r="39" spans="1:6" x14ac:dyDescent="0.35">
      <c r="A39" s="43"/>
      <c r="B39" s="43"/>
      <c r="C39" s="43"/>
      <c r="D39" s="43"/>
      <c r="E39" s="43"/>
      <c r="F39" s="42">
        <f>SUM(E35:E37)</f>
        <v>253000</v>
      </c>
    </row>
    <row r="40" spans="1:6" x14ac:dyDescent="0.35">
      <c r="A40" s="288"/>
      <c r="B40" s="289"/>
      <c r="C40" s="289"/>
      <c r="D40" s="289"/>
      <c r="E40" s="290"/>
      <c r="F40" s="42">
        <f>F9+F23+F33+F39</f>
        <v>1546305.4755229331</v>
      </c>
    </row>
    <row r="41" spans="1:6" ht="15" thickBot="1" x14ac:dyDescent="0.4">
      <c r="A41" s="291"/>
      <c r="B41" s="292"/>
      <c r="C41" s="292"/>
      <c r="D41" s="292"/>
      <c r="E41" s="293"/>
      <c r="F41" s="44">
        <f>F40*A41</f>
        <v>0</v>
      </c>
    </row>
    <row r="42" spans="1:6" ht="15" thickBot="1" x14ac:dyDescent="0.4">
      <c r="A42" s="299"/>
      <c r="B42" s="300"/>
      <c r="C42" s="300"/>
      <c r="D42" s="300"/>
      <c r="E42" s="301"/>
      <c r="F42" s="28">
        <f>F40+F41</f>
        <v>1546305.4755229331</v>
      </c>
    </row>
    <row r="43" spans="1:6" ht="15" thickBot="1" x14ac:dyDescent="0.4">
      <c r="A43" s="302"/>
      <c r="B43" s="300"/>
      <c r="C43" s="300"/>
      <c r="D43" s="300"/>
      <c r="E43" s="301"/>
      <c r="F43" s="28">
        <f>F42*A43</f>
        <v>0</v>
      </c>
    </row>
    <row r="44" spans="1:6" ht="15" thickBot="1" x14ac:dyDescent="0.4">
      <c r="A44" s="286"/>
      <c r="B44" s="286"/>
      <c r="C44" s="286"/>
      <c r="D44" s="286"/>
      <c r="E44" s="286"/>
      <c r="F44" s="28">
        <f>F42+F43</f>
        <v>1546305.4755229331</v>
      </c>
    </row>
    <row r="45" spans="1:6" x14ac:dyDescent="0.35">
      <c r="F45" s="224">
        <f>F44/F3</f>
        <v>85905.859751274053</v>
      </c>
    </row>
  </sheetData>
  <mergeCells count="11">
    <mergeCell ref="A44:E44"/>
    <mergeCell ref="F24:F32"/>
    <mergeCell ref="A33:E33"/>
    <mergeCell ref="F34:F38"/>
    <mergeCell ref="A40:E40"/>
    <mergeCell ref="A41:E41"/>
    <mergeCell ref="A23:E23"/>
    <mergeCell ref="A1:F1"/>
    <mergeCell ref="A9:E9"/>
    <mergeCell ref="A42:E42"/>
    <mergeCell ref="A43:E43"/>
  </mergeCells>
  <dataValidations count="3">
    <dataValidation type="list" allowBlank="1" showInputMessage="1" showErrorMessage="1" sqref="A36:A38" xr:uid="{DE88CA56-FDC6-493E-AC15-8E69FC189F3F}">
      <formula1>ListaTransporte</formula1>
    </dataValidation>
    <dataValidation type="list" allowBlank="1" showInputMessage="1" showErrorMessage="1" sqref="A11:A23" xr:uid="{47A36423-30B3-4E07-924B-9B28F38F836B}">
      <formula1>ListaMateriales</formula1>
    </dataValidation>
    <dataValidation type="list" allowBlank="1" showInputMessage="1" showErrorMessage="1" sqref="A3:A9" xr:uid="{E0B40B4C-4D3C-4575-A33A-73E39840DC80}">
      <formula1>ListaEquipos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F783-0AD5-4BE7-985F-0994445B3BF7}">
  <sheetPr>
    <tabColor rgb="FF00B050"/>
  </sheetPr>
  <dimension ref="A1:F39"/>
  <sheetViews>
    <sheetView topLeftCell="A7" workbookViewId="0">
      <selection activeCell="F39" sqref="F39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188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x14ac:dyDescent="0.35">
      <c r="A3" s="33"/>
      <c r="B3" s="34"/>
      <c r="C3" s="45"/>
      <c r="D3" s="46"/>
      <c r="E3" s="37"/>
      <c r="F3" s="77">
        <v>8</v>
      </c>
    </row>
    <row r="4" spans="1:6" x14ac:dyDescent="0.35">
      <c r="A4" s="33" t="s">
        <v>469</v>
      </c>
      <c r="B4" s="34">
        <v>2</v>
      </c>
      <c r="C4" s="45">
        <v>0.5</v>
      </c>
      <c r="D4" s="24">
        <f>IFERROR(VLOOKUP(A4,[1]!TablaEquipos[#Data],2,FALSE),0)</f>
        <v>800</v>
      </c>
      <c r="E4" s="25">
        <f>B4*C4*D4</f>
        <v>800</v>
      </c>
      <c r="F4" s="62"/>
    </row>
    <row r="5" spans="1:6" x14ac:dyDescent="0.35">
      <c r="A5" s="26" t="s">
        <v>432</v>
      </c>
      <c r="B5" s="22">
        <v>2</v>
      </c>
      <c r="C5" s="45">
        <v>0.5</v>
      </c>
      <c r="D5" s="24">
        <f>IFERROR(VLOOKUP(A5,[1]!TablaEquipos[#Data],2,FALSE),0)</f>
        <v>500</v>
      </c>
      <c r="E5" s="25">
        <f>B5*C5*D5</f>
        <v>500</v>
      </c>
      <c r="F5" s="62"/>
    </row>
    <row r="6" spans="1:6" x14ac:dyDescent="0.35">
      <c r="A6" s="26" t="s">
        <v>226</v>
      </c>
      <c r="B6" s="22">
        <v>1</v>
      </c>
      <c r="C6" s="45">
        <v>0.5</v>
      </c>
      <c r="D6" s="24">
        <f>IFERROR(VLOOKUP(A6,[1]!TablaEquipos[#Data],2,FALSE),0)</f>
        <v>700</v>
      </c>
      <c r="E6" s="25">
        <f>B6*C6*D6</f>
        <v>350</v>
      </c>
      <c r="F6" s="62"/>
    </row>
    <row r="7" spans="1:6" x14ac:dyDescent="0.35">
      <c r="A7" s="24"/>
      <c r="B7" s="22"/>
      <c r="C7" s="23"/>
      <c r="D7" s="24">
        <f>IFERROR(VLOOKUP(A7,[1]!TablaEquipos[#Data],2,FALSE),0)</f>
        <v>0</v>
      </c>
      <c r="E7" s="25"/>
      <c r="F7" s="62"/>
    </row>
    <row r="8" spans="1:6" x14ac:dyDescent="0.35">
      <c r="A8" s="24"/>
      <c r="B8" s="22"/>
      <c r="C8" s="23"/>
      <c r="D8" s="24">
        <f>IFERROR(VLOOKUP(A8,[1]!TablaEquipos[#Data],2,FALSE),0)</f>
        <v>0</v>
      </c>
      <c r="E8" s="25"/>
      <c r="F8" s="62"/>
    </row>
    <row r="9" spans="1:6" x14ac:dyDescent="0.35">
      <c r="A9" s="24"/>
      <c r="B9" s="22"/>
      <c r="C9" s="23"/>
      <c r="D9" s="24">
        <f>IFERROR(VLOOKUP(A9,[1]!TablaEquipos[#Data],2,FALSE),0)</f>
        <v>0</v>
      </c>
      <c r="E9" s="25"/>
      <c r="F9" s="62"/>
    </row>
    <row r="10" spans="1:6" x14ac:dyDescent="0.35">
      <c r="A10" s="24"/>
      <c r="B10" s="22"/>
      <c r="C10" s="23"/>
      <c r="D10" s="24">
        <f>IFERROR(VLOOKUP(A10,[1]!TablaEquipos[#Data],2,FALSE),0)</f>
        <v>0</v>
      </c>
      <c r="E10" s="25"/>
      <c r="F10" s="62"/>
    </row>
    <row r="11" spans="1:6" ht="15" thickBot="1" x14ac:dyDescent="0.4">
      <c r="A11" s="294"/>
      <c r="B11" s="295"/>
      <c r="C11" s="295"/>
      <c r="D11" s="295"/>
      <c r="E11" s="295"/>
      <c r="F11" s="84">
        <f>SUM(E4:E10)</f>
        <v>1650</v>
      </c>
    </row>
    <row r="12" spans="1:6" x14ac:dyDescent="0.35">
      <c r="A12" s="33" t="s">
        <v>270</v>
      </c>
      <c r="B12" s="34" t="s">
        <v>83</v>
      </c>
      <c r="C12" s="45" t="s">
        <v>84</v>
      </c>
      <c r="D12" s="46" t="s">
        <v>269</v>
      </c>
      <c r="E12" s="37" t="s">
        <v>86</v>
      </c>
      <c r="F12" s="168"/>
    </row>
    <row r="13" spans="1:6" x14ac:dyDescent="0.35">
      <c r="A13" s="31" t="s">
        <v>474</v>
      </c>
      <c r="B13" s="78">
        <v>2</v>
      </c>
      <c r="C13" s="23"/>
      <c r="D13" s="27">
        <f>IFERROR(VLOOKUP(A13,[1]!TablaMateriales[#Data],2,FALSE),0)</f>
        <v>160000</v>
      </c>
      <c r="E13" s="27">
        <f>B13*D13</f>
        <v>320000</v>
      </c>
      <c r="F13" s="173"/>
    </row>
    <row r="14" spans="1:6" x14ac:dyDescent="0.35">
      <c r="A14" s="30" t="s">
        <v>261</v>
      </c>
      <c r="B14" s="212">
        <v>0.3</v>
      </c>
      <c r="C14" s="23"/>
      <c r="D14" s="27">
        <f>IFERROR(VLOOKUP(A14,[1]!TablaMateriales[#Data],2,FALSE),0)</f>
        <v>55000</v>
      </c>
      <c r="E14" s="27">
        <f>B14*D14</f>
        <v>16500</v>
      </c>
      <c r="F14" s="173"/>
    </row>
    <row r="15" spans="1:6" x14ac:dyDescent="0.35">
      <c r="A15" s="31"/>
      <c r="B15" s="78"/>
      <c r="C15" s="23"/>
      <c r="D15" s="27">
        <f>IFERROR(VLOOKUP(A15,[1]!TablaMateriales[#Data],2,FALSE),0)</f>
        <v>0</v>
      </c>
      <c r="E15" s="27">
        <f>B15*D15</f>
        <v>0</v>
      </c>
      <c r="F15" s="173"/>
    </row>
    <row r="16" spans="1:6" ht="15" thickBot="1" x14ac:dyDescent="0.4">
      <c r="A16" s="31"/>
      <c r="B16" s="78"/>
      <c r="C16" s="23"/>
      <c r="D16" s="27">
        <f>IFERROR(VLOOKUP(A16,[1]!TablaMateriales[#Data],2,FALSE),0)</f>
        <v>0</v>
      </c>
      <c r="E16" s="27">
        <f>B16*D16</f>
        <v>0</v>
      </c>
      <c r="F16" s="173"/>
    </row>
    <row r="17" spans="1:6" ht="15" thickBot="1" x14ac:dyDescent="0.4">
      <c r="A17" s="296"/>
      <c r="B17" s="297"/>
      <c r="C17" s="297"/>
      <c r="D17" s="297"/>
      <c r="E17" s="298"/>
      <c r="F17" s="28">
        <f>SUM(E13:E16)</f>
        <v>336500</v>
      </c>
    </row>
    <row r="18" spans="1:6" x14ac:dyDescent="0.35">
      <c r="A18" s="33" t="s">
        <v>88</v>
      </c>
      <c r="B18" s="34" t="s">
        <v>83</v>
      </c>
      <c r="C18" s="35" t="s">
        <v>84</v>
      </c>
      <c r="D18" s="36" t="s">
        <v>89</v>
      </c>
      <c r="E18" s="37" t="s">
        <v>86</v>
      </c>
      <c r="F18" s="280"/>
    </row>
    <row r="19" spans="1:6" x14ac:dyDescent="0.35">
      <c r="A19" s="38" t="s">
        <v>272</v>
      </c>
      <c r="B19" s="34">
        <v>1</v>
      </c>
      <c r="C19" s="35">
        <v>0.41</v>
      </c>
      <c r="D19" s="39">
        <f>'tabla salarial'!AS4</f>
        <v>555393.74067333317</v>
      </c>
      <c r="E19" s="37">
        <f>B19*C19*D19</f>
        <v>227711.43367606658</v>
      </c>
      <c r="F19" s="281"/>
    </row>
    <row r="20" spans="1:6" x14ac:dyDescent="0.35">
      <c r="A20" s="107" t="s">
        <v>273</v>
      </c>
      <c r="B20" s="20">
        <v>1</v>
      </c>
      <c r="C20" s="40">
        <v>0.41</v>
      </c>
      <c r="D20" s="39">
        <f>'tabla salarial'!AS4</f>
        <v>555393.74067333317</v>
      </c>
      <c r="E20" s="21">
        <f t="shared" ref="E20:E26" si="0">B20*C20*D20</f>
        <v>227711.43367606658</v>
      </c>
      <c r="F20" s="281"/>
    </row>
    <row r="21" spans="1:6" x14ac:dyDescent="0.35">
      <c r="A21" s="107" t="s">
        <v>277</v>
      </c>
      <c r="B21" s="20">
        <v>1</v>
      </c>
      <c r="C21" s="35"/>
      <c r="D21" s="39">
        <f>'tabla salarial'!AS4</f>
        <v>555393.74067333317</v>
      </c>
      <c r="E21" s="21">
        <f>B21*C21*D21</f>
        <v>0</v>
      </c>
      <c r="F21" s="281"/>
    </row>
    <row r="22" spans="1:6" x14ac:dyDescent="0.35">
      <c r="A22" s="107" t="s">
        <v>278</v>
      </c>
      <c r="B22" s="20">
        <v>1.5</v>
      </c>
      <c r="C22" s="35"/>
      <c r="D22" s="39">
        <f>'tabla salarial'!AS6</f>
        <v>407197.80492666672</v>
      </c>
      <c r="E22" s="21">
        <f>B22*C22*D22</f>
        <v>0</v>
      </c>
      <c r="F22" s="281"/>
    </row>
    <row r="23" spans="1:6" x14ac:dyDescent="0.35">
      <c r="A23" s="107" t="s">
        <v>276</v>
      </c>
      <c r="B23" s="20">
        <v>2</v>
      </c>
      <c r="C23" s="35"/>
      <c r="D23" s="39">
        <f>'tabla salarial'!AS6</f>
        <v>407197.80492666672</v>
      </c>
      <c r="E23" s="21">
        <f>B23*C23*D23</f>
        <v>0</v>
      </c>
      <c r="F23" s="281"/>
    </row>
    <row r="24" spans="1:6" x14ac:dyDescent="0.35">
      <c r="A24" s="107" t="s">
        <v>274</v>
      </c>
      <c r="B24" s="20">
        <v>1</v>
      </c>
      <c r="C24" s="35">
        <v>0.41</v>
      </c>
      <c r="D24" s="39">
        <f>'tabla salarial'!AS7</f>
        <v>371571.3297066667</v>
      </c>
      <c r="E24" s="21">
        <f t="shared" si="0"/>
        <v>152344.24517973335</v>
      </c>
      <c r="F24" s="281"/>
    </row>
    <row r="25" spans="1:6" x14ac:dyDescent="0.35">
      <c r="A25" s="107" t="s">
        <v>223</v>
      </c>
      <c r="B25" s="20">
        <v>1</v>
      </c>
      <c r="C25" s="35">
        <v>0.41</v>
      </c>
      <c r="D25" s="39">
        <f>'tabla salarial'!AS8</f>
        <v>355821.87609999999</v>
      </c>
      <c r="E25" s="21">
        <f>B25*C25*D25</f>
        <v>145886.969201</v>
      </c>
      <c r="F25" s="281"/>
    </row>
    <row r="26" spans="1:6" x14ac:dyDescent="0.35">
      <c r="A26" s="107" t="s">
        <v>275</v>
      </c>
      <c r="B26" s="20">
        <v>2</v>
      </c>
      <c r="C26" s="40">
        <v>0.41</v>
      </c>
      <c r="D26" s="39">
        <f>'tabla salarial'!AS9</f>
        <v>382109.06042666658</v>
      </c>
      <c r="E26" s="21">
        <f t="shared" si="0"/>
        <v>313329.42954986659</v>
      </c>
      <c r="F26" s="281"/>
    </row>
    <row r="27" spans="1:6" x14ac:dyDescent="0.35">
      <c r="A27" s="287">
        <v>3</v>
      </c>
      <c r="B27" s="287"/>
      <c r="C27" s="287"/>
      <c r="D27" s="287"/>
      <c r="E27" s="287"/>
      <c r="F27" s="42">
        <f>SUM(E19:E26)</f>
        <v>1066983.5112827332</v>
      </c>
    </row>
    <row r="28" spans="1:6" x14ac:dyDescent="0.35">
      <c r="A28" s="33" t="s">
        <v>279</v>
      </c>
      <c r="B28" s="34" t="s">
        <v>83</v>
      </c>
      <c r="C28" s="35" t="s">
        <v>84</v>
      </c>
      <c r="D28" s="36" t="s">
        <v>269</v>
      </c>
      <c r="E28" s="37" t="s">
        <v>86</v>
      </c>
      <c r="F28" s="283"/>
    </row>
    <row r="29" spans="1:6" x14ac:dyDescent="0.35">
      <c r="A29" s="108" t="s">
        <v>240</v>
      </c>
      <c r="B29" s="108">
        <v>1</v>
      </c>
      <c r="C29" s="166">
        <v>0.33</v>
      </c>
      <c r="D29" s="108">
        <f>IFERROR(VLOOKUP(A29,[1]!TablaTransporte[#Data],2,FALSE),0)</f>
        <v>550000</v>
      </c>
      <c r="E29" s="110">
        <f>B29*C29*D29</f>
        <v>181500</v>
      </c>
      <c r="F29" s="284"/>
    </row>
    <row r="30" spans="1:6" x14ac:dyDescent="0.35">
      <c r="A30" s="108" t="s">
        <v>381</v>
      </c>
      <c r="B30" s="108">
        <v>1</v>
      </c>
      <c r="C30" s="166">
        <v>0.33</v>
      </c>
      <c r="D30" s="108">
        <f>IFERROR(VLOOKUP(A30,[1]!TablaTransporte[#Data],2,FALSE),0)</f>
        <v>600000</v>
      </c>
      <c r="E30" s="110">
        <f>B30*C30*D30</f>
        <v>198000</v>
      </c>
      <c r="F30" s="284"/>
    </row>
    <row r="31" spans="1:6" x14ac:dyDescent="0.35">
      <c r="A31" s="41"/>
      <c r="B31" s="41"/>
      <c r="C31" s="41"/>
      <c r="D31" s="41">
        <f>IFERROR(VLOOKUP(A31,[1]!TablaTransporte[#Data],2,FALSE),0)</f>
        <v>0</v>
      </c>
      <c r="E31" s="41"/>
      <c r="F31" s="284"/>
    </row>
    <row r="32" spans="1:6" x14ac:dyDescent="0.35">
      <c r="A32" s="41"/>
      <c r="B32" s="41"/>
      <c r="C32" s="41"/>
      <c r="D32" s="41">
        <f>IFERROR(VLOOKUP(A32,[1]!TablaTransporte[#Data],2,FALSE),0)</f>
        <v>0</v>
      </c>
      <c r="E32" s="41"/>
      <c r="F32" s="285"/>
    </row>
    <row r="33" spans="1:6" x14ac:dyDescent="0.35">
      <c r="A33" s="43"/>
      <c r="B33" s="43"/>
      <c r="C33" s="43"/>
      <c r="D33" s="43"/>
      <c r="E33" s="43"/>
      <c r="F33" s="42">
        <f>SUM(E29:E31)</f>
        <v>379500</v>
      </c>
    </row>
    <row r="34" spans="1:6" x14ac:dyDescent="0.35">
      <c r="A34" s="288"/>
      <c r="B34" s="289"/>
      <c r="C34" s="289"/>
      <c r="D34" s="289"/>
      <c r="E34" s="290"/>
      <c r="F34" s="42">
        <f>F11+F17+F27+F33</f>
        <v>1784633.5112827332</v>
      </c>
    </row>
    <row r="35" spans="1:6" ht="15" thickBot="1" x14ac:dyDescent="0.4">
      <c r="A35" s="291"/>
      <c r="B35" s="292"/>
      <c r="C35" s="292"/>
      <c r="D35" s="292"/>
      <c r="E35" s="293"/>
      <c r="F35" s="44">
        <f>F34*A35</f>
        <v>0</v>
      </c>
    </row>
    <row r="36" spans="1:6" ht="15" thickBot="1" x14ac:dyDescent="0.4">
      <c r="A36" s="299"/>
      <c r="B36" s="300"/>
      <c r="C36" s="300"/>
      <c r="D36" s="300"/>
      <c r="E36" s="301"/>
      <c r="F36" s="28">
        <f>F34+F35</f>
        <v>1784633.5112827332</v>
      </c>
    </row>
    <row r="37" spans="1:6" ht="15" thickBot="1" x14ac:dyDescent="0.4">
      <c r="A37" s="302"/>
      <c r="B37" s="300"/>
      <c r="C37" s="300"/>
      <c r="D37" s="300"/>
      <c r="E37" s="301"/>
      <c r="F37" s="28">
        <f>F36*A37</f>
        <v>0</v>
      </c>
    </row>
    <row r="38" spans="1:6" ht="15" thickBot="1" x14ac:dyDescent="0.4">
      <c r="A38" s="286"/>
      <c r="B38" s="286"/>
      <c r="C38" s="286"/>
      <c r="D38" s="286"/>
      <c r="E38" s="286"/>
      <c r="F38" s="28">
        <f>F36+F37</f>
        <v>1784633.5112827332</v>
      </c>
    </row>
    <row r="39" spans="1:6" x14ac:dyDescent="0.35">
      <c r="F39" s="224">
        <f>F38/F3</f>
        <v>223079.18891034165</v>
      </c>
    </row>
  </sheetData>
  <mergeCells count="11">
    <mergeCell ref="A38:E38"/>
    <mergeCell ref="F18:F26"/>
    <mergeCell ref="A27:E27"/>
    <mergeCell ref="F28:F32"/>
    <mergeCell ref="A34:E34"/>
    <mergeCell ref="A35:E35"/>
    <mergeCell ref="A17:E17"/>
    <mergeCell ref="A1:F1"/>
    <mergeCell ref="A11:E11"/>
    <mergeCell ref="A36:E36"/>
    <mergeCell ref="A37:E37"/>
  </mergeCells>
  <dataValidations count="3">
    <dataValidation type="list" allowBlank="1" showInputMessage="1" showErrorMessage="1" sqref="A30:A32" xr:uid="{3E897944-9F20-439F-9D53-737C4F66A39F}">
      <formula1>ListaTransporte</formula1>
    </dataValidation>
    <dataValidation type="list" allowBlank="1" showInputMessage="1" showErrorMessage="1" sqref="A3:A11" xr:uid="{21F3C6FD-DA0F-4AE5-8A95-423620260D2A}">
      <formula1>ListaEquipos</formula1>
    </dataValidation>
    <dataValidation type="list" allowBlank="1" showInputMessage="1" showErrorMessage="1" sqref="A13:A17" xr:uid="{10B761F6-E5D6-4512-920B-46C3040A0EA1}">
      <formula1>ListaMateriales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2D78-9D86-4903-B23D-FECB47EA3BCA}">
  <sheetPr>
    <tabColor rgb="FF00B050"/>
  </sheetPr>
  <dimension ref="A1:F49"/>
  <sheetViews>
    <sheetView topLeftCell="A37" workbookViewId="0">
      <selection activeCell="F49" sqref="F49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1.453125" bestFit="1" customWidth="1"/>
    <col min="5" max="5" width="12.36328125" bestFit="1" customWidth="1"/>
    <col min="6" max="6" width="13.6328125" bestFit="1" customWidth="1"/>
  </cols>
  <sheetData>
    <row r="1" spans="1:6" x14ac:dyDescent="0.35">
      <c r="A1" s="306" t="s">
        <v>189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158</v>
      </c>
    </row>
    <row r="3" spans="1:6" ht="15.5" x14ac:dyDescent="0.35">
      <c r="A3" s="133"/>
      <c r="B3" s="34"/>
      <c r="C3" s="45"/>
      <c r="D3" s="46"/>
      <c r="E3" s="37"/>
      <c r="F3" s="77">
        <v>330</v>
      </c>
    </row>
    <row r="4" spans="1:6" ht="15.5" x14ac:dyDescent="0.35">
      <c r="A4" s="122" t="s">
        <v>478</v>
      </c>
      <c r="B4" s="22">
        <v>1</v>
      </c>
      <c r="C4" s="23">
        <v>14</v>
      </c>
      <c r="D4" s="24">
        <f>IFERROR(VLOOKUP(A4,[1]!TablaEquipos[#Data],2,FALSE),0)</f>
        <v>5000</v>
      </c>
      <c r="E4" s="25">
        <f>B4*C4*D4</f>
        <v>70000</v>
      </c>
      <c r="F4" s="62"/>
    </row>
    <row r="5" spans="1:6" x14ac:dyDescent="0.35">
      <c r="A5" s="26" t="s">
        <v>479</v>
      </c>
      <c r="B5" s="22">
        <v>2</v>
      </c>
      <c r="C5" s="23">
        <v>14</v>
      </c>
      <c r="D5" s="24">
        <f>IFERROR(VLOOKUP(A5,[1]!TablaEquipos[#Data],2,FALSE),0)</f>
        <v>1500</v>
      </c>
      <c r="E5" s="25">
        <f>B5*C5*D5</f>
        <v>42000</v>
      </c>
      <c r="F5" s="62"/>
    </row>
    <row r="6" spans="1:6" x14ac:dyDescent="0.35">
      <c r="A6" s="26" t="s">
        <v>382</v>
      </c>
      <c r="B6" s="22">
        <v>4</v>
      </c>
      <c r="C6" s="23">
        <v>14</v>
      </c>
      <c r="D6" s="24">
        <f>IFERROR(VLOOKUP(A6,[1]!TablaEquipos[#Data],2,FALSE),0)</f>
        <v>700</v>
      </c>
      <c r="E6" s="25">
        <f>B6*C6*D6</f>
        <v>39200</v>
      </c>
      <c r="F6" s="62"/>
    </row>
    <row r="7" spans="1:6" x14ac:dyDescent="0.35">
      <c r="A7" s="26" t="s">
        <v>344</v>
      </c>
      <c r="B7" s="22">
        <v>1</v>
      </c>
      <c r="C7" s="23">
        <v>14</v>
      </c>
      <c r="D7" s="24">
        <f>IFERROR(VLOOKUP(A7,[1]!TablaEquipos[#Data],2,FALSE),0)</f>
        <v>40000</v>
      </c>
      <c r="E7" s="25">
        <f t="shared" ref="E7:E14" si="0">B7*C7*D7</f>
        <v>560000</v>
      </c>
      <c r="F7" s="62"/>
    </row>
    <row r="8" spans="1:6" x14ac:dyDescent="0.35">
      <c r="A8" s="26" t="s">
        <v>483</v>
      </c>
      <c r="B8" s="22">
        <v>3</v>
      </c>
      <c r="C8" s="23">
        <v>14</v>
      </c>
      <c r="D8" s="24">
        <f>IFERROR(VLOOKUP(A8,[1]!TablaEquipos[#Data],2,FALSE),0)</f>
        <v>25000</v>
      </c>
      <c r="E8" s="25">
        <f t="shared" si="0"/>
        <v>1050000</v>
      </c>
      <c r="F8" s="62"/>
    </row>
    <row r="9" spans="1:6" x14ac:dyDescent="0.35">
      <c r="A9" s="26" t="s">
        <v>486</v>
      </c>
      <c r="B9" s="22">
        <v>4</v>
      </c>
      <c r="C9" s="23"/>
      <c r="D9" s="24">
        <v>15000000</v>
      </c>
      <c r="E9" s="25">
        <f>B9*D9</f>
        <v>60000000</v>
      </c>
      <c r="F9" s="62"/>
    </row>
    <row r="10" spans="1:6" x14ac:dyDescent="0.35">
      <c r="A10" s="24" t="s">
        <v>480</v>
      </c>
      <c r="B10" s="22">
        <v>2</v>
      </c>
      <c r="C10" s="23">
        <v>14</v>
      </c>
      <c r="D10" s="24">
        <f>IFERROR(VLOOKUP(A10,[1]!TablaEquipos[#Data],2,FALSE),0)</f>
        <v>1500</v>
      </c>
      <c r="E10" s="25">
        <f t="shared" si="0"/>
        <v>42000</v>
      </c>
      <c r="F10" s="62"/>
    </row>
    <row r="11" spans="1:6" x14ac:dyDescent="0.35">
      <c r="A11" s="26" t="s">
        <v>477</v>
      </c>
      <c r="B11" s="22">
        <v>1</v>
      </c>
      <c r="C11" s="23">
        <v>14</v>
      </c>
      <c r="D11" s="24">
        <f>IFERROR(VLOOKUP(A11,[1]!TablaEquipos[#Data],2,FALSE),0)</f>
        <v>50000</v>
      </c>
      <c r="E11" s="25">
        <f t="shared" si="0"/>
        <v>700000</v>
      </c>
      <c r="F11" s="62"/>
    </row>
    <row r="12" spans="1:6" x14ac:dyDescent="0.35">
      <c r="A12" s="24" t="s">
        <v>235</v>
      </c>
      <c r="B12" s="22">
        <v>6</v>
      </c>
      <c r="C12" s="23">
        <v>14</v>
      </c>
      <c r="D12" s="24">
        <f>IFERROR(VLOOKUP(A12,[1]!TablaEquipos[#Data],2,FALSE),0)</f>
        <v>0</v>
      </c>
      <c r="E12" s="25">
        <f t="shared" si="0"/>
        <v>0</v>
      </c>
      <c r="F12" s="62"/>
    </row>
    <row r="13" spans="1:6" x14ac:dyDescent="0.35">
      <c r="A13" s="81" t="s">
        <v>481</v>
      </c>
      <c r="B13" s="82">
        <v>4</v>
      </c>
      <c r="C13" s="32">
        <v>1</v>
      </c>
      <c r="D13" s="24">
        <f>IFERROR(VLOOKUP(A13,[1]!TablaEquipos[#Data],2,FALSE),0)</f>
        <v>0</v>
      </c>
      <c r="E13" s="25">
        <f t="shared" si="0"/>
        <v>0</v>
      </c>
      <c r="F13" s="62"/>
    </row>
    <row r="14" spans="1:6" x14ac:dyDescent="0.35">
      <c r="A14" s="24" t="s">
        <v>482</v>
      </c>
      <c r="B14" s="22">
        <v>2</v>
      </c>
      <c r="C14" s="23">
        <v>1</v>
      </c>
      <c r="D14" s="24">
        <f>IFERROR(VLOOKUP(A14,[1]!TablaEquipos[#Data],2,FALSE),0)</f>
        <v>5000</v>
      </c>
      <c r="E14" s="25">
        <f t="shared" si="0"/>
        <v>10000</v>
      </c>
      <c r="F14" s="62"/>
    </row>
    <row r="15" spans="1:6" ht="15" thickBot="1" x14ac:dyDescent="0.4">
      <c r="A15" s="294"/>
      <c r="B15" s="295"/>
      <c r="C15" s="295"/>
      <c r="D15" s="295"/>
      <c r="E15" s="295"/>
      <c r="F15" s="84">
        <f>SUM(E4:E14)</f>
        <v>62513200</v>
      </c>
    </row>
    <row r="16" spans="1:6" x14ac:dyDescent="0.35">
      <c r="A16" s="33" t="s">
        <v>270</v>
      </c>
      <c r="B16" s="34" t="s">
        <v>83</v>
      </c>
      <c r="C16" s="45" t="s">
        <v>84</v>
      </c>
      <c r="D16" s="46" t="s">
        <v>269</v>
      </c>
      <c r="E16" s="37" t="s">
        <v>86</v>
      </c>
      <c r="F16" s="168"/>
    </row>
    <row r="17" spans="1:6" x14ac:dyDescent="0.35">
      <c r="A17" s="24"/>
      <c r="B17" s="22"/>
      <c r="C17" s="29"/>
      <c r="D17" s="27"/>
      <c r="E17" s="25"/>
      <c r="F17" s="155"/>
    </row>
    <row r="18" spans="1:6" x14ac:dyDescent="0.35">
      <c r="A18" s="30" t="s">
        <v>355</v>
      </c>
      <c r="B18" s="22">
        <v>200</v>
      </c>
      <c r="C18" s="29"/>
      <c r="D18" s="27">
        <f>IFERROR(VLOOKUP(A18,[1]!TablaMateriales[#Data],2,FALSE),0)</f>
        <v>2500</v>
      </c>
      <c r="E18" s="25">
        <f t="shared" ref="E18:E25" si="1">B18*D18</f>
        <v>500000</v>
      </c>
      <c r="F18" s="155"/>
    </row>
    <row r="19" spans="1:6" x14ac:dyDescent="0.35">
      <c r="A19" s="30" t="s">
        <v>484</v>
      </c>
      <c r="B19" s="22">
        <v>100</v>
      </c>
      <c r="C19" s="29"/>
      <c r="D19" s="27">
        <f>IFERROR(VLOOKUP(A19,[1]!TablaMateriales[#Data],2,FALSE),0)</f>
        <v>12000</v>
      </c>
      <c r="E19" s="25">
        <f t="shared" si="1"/>
        <v>1200000</v>
      </c>
      <c r="F19" s="155"/>
    </row>
    <row r="20" spans="1:6" x14ac:dyDescent="0.35">
      <c r="A20" s="30" t="s">
        <v>485</v>
      </c>
      <c r="B20" s="22">
        <v>1</v>
      </c>
      <c r="C20" s="29"/>
      <c r="D20" s="27">
        <f>IFERROR(VLOOKUP(A20,[1]!TablaMateriales[#Data],2,FALSE),0)</f>
        <v>35000</v>
      </c>
      <c r="E20" s="25">
        <f t="shared" si="1"/>
        <v>35000</v>
      </c>
      <c r="F20" s="155"/>
    </row>
    <row r="21" spans="1:6" x14ac:dyDescent="0.35">
      <c r="A21" s="30"/>
      <c r="B21" s="78"/>
      <c r="C21" s="23"/>
      <c r="D21" s="27">
        <f>IFERROR(VLOOKUP(A21,[1]!TablaMateriales[#Data],2,FALSE),0)</f>
        <v>0</v>
      </c>
      <c r="E21" s="25">
        <f t="shared" si="1"/>
        <v>0</v>
      </c>
      <c r="F21" s="155"/>
    </row>
    <row r="22" spans="1:6" x14ac:dyDescent="0.35">
      <c r="A22" s="30"/>
      <c r="B22" s="78"/>
      <c r="C22" s="23"/>
      <c r="D22" s="27">
        <f>IFERROR(VLOOKUP(A22,[1]!TablaMateriales[#Data],2,FALSE),0)</f>
        <v>0</v>
      </c>
      <c r="E22" s="25">
        <f t="shared" si="1"/>
        <v>0</v>
      </c>
      <c r="F22" s="155"/>
    </row>
    <row r="23" spans="1:6" x14ac:dyDescent="0.35">
      <c r="A23" s="30"/>
      <c r="B23" s="78"/>
      <c r="C23" s="23"/>
      <c r="D23" s="27">
        <f>IFERROR(VLOOKUP(A23,[1]!TablaMateriales[#Data],2,FALSE),0)</f>
        <v>0</v>
      </c>
      <c r="E23" s="25">
        <f t="shared" si="1"/>
        <v>0</v>
      </c>
      <c r="F23" s="155"/>
    </row>
    <row r="24" spans="1:6" x14ac:dyDescent="0.35">
      <c r="A24" s="30"/>
      <c r="B24" s="78"/>
      <c r="C24" s="23"/>
      <c r="D24" s="27">
        <f>IFERROR(VLOOKUP(A24,[1]!TablaMateriales[#Data],2,FALSE),0)</f>
        <v>0</v>
      </c>
      <c r="E24" s="25">
        <f t="shared" si="1"/>
        <v>0</v>
      </c>
      <c r="F24" s="155"/>
    </row>
    <row r="25" spans="1:6" x14ac:dyDescent="0.35">
      <c r="A25" s="79"/>
      <c r="B25" s="78"/>
      <c r="C25" s="23"/>
      <c r="D25" s="27">
        <f>IFERROR(VLOOKUP(A25,[1]!TablaMateriales[#Data],2,FALSE),0)</f>
        <v>0</v>
      </c>
      <c r="E25" s="25">
        <f t="shared" si="1"/>
        <v>0</v>
      </c>
      <c r="F25" s="155"/>
    </row>
    <row r="26" spans="1:6" ht="15" thickBot="1" x14ac:dyDescent="0.4">
      <c r="A26" s="31"/>
      <c r="B26" s="78"/>
      <c r="C26" s="23"/>
      <c r="D26" s="27">
        <f>IFERROR(VLOOKUP(A26,[1]!TablaMateriales[#Data],2,FALSE),0)</f>
        <v>0</v>
      </c>
      <c r="E26" s="27"/>
      <c r="F26" s="173"/>
    </row>
    <row r="27" spans="1:6" ht="15" thickBot="1" x14ac:dyDescent="0.4">
      <c r="A27" s="296"/>
      <c r="B27" s="297"/>
      <c r="C27" s="297"/>
      <c r="D27" s="297"/>
      <c r="E27" s="298"/>
      <c r="F27" s="28">
        <f>SUM(E17:E26)</f>
        <v>1735000</v>
      </c>
    </row>
    <row r="28" spans="1:6" x14ac:dyDescent="0.35">
      <c r="A28" s="33" t="s">
        <v>88</v>
      </c>
      <c r="B28" s="34" t="s">
        <v>83</v>
      </c>
      <c r="C28" s="35" t="s">
        <v>84</v>
      </c>
      <c r="D28" s="36" t="s">
        <v>89</v>
      </c>
      <c r="E28" s="37" t="s">
        <v>86</v>
      </c>
      <c r="F28" s="168"/>
    </row>
    <row r="29" spans="1:6" x14ac:dyDescent="0.35">
      <c r="A29" s="38" t="s">
        <v>272</v>
      </c>
      <c r="B29" s="34">
        <v>1</v>
      </c>
      <c r="C29" s="35">
        <v>25</v>
      </c>
      <c r="D29" s="39">
        <f>'tabla salarial'!AS4</f>
        <v>555393.74067333317</v>
      </c>
      <c r="E29" s="37">
        <f>B29*C29*D29</f>
        <v>13884843.51683333</v>
      </c>
      <c r="F29" s="155"/>
    </row>
    <row r="30" spans="1:6" x14ac:dyDescent="0.35">
      <c r="A30" s="107" t="s">
        <v>273</v>
      </c>
      <c r="B30" s="20">
        <v>1</v>
      </c>
      <c r="C30" s="40">
        <v>25</v>
      </c>
      <c r="D30" s="39">
        <f>'tabla salarial'!AS4</f>
        <v>555393.74067333317</v>
      </c>
      <c r="E30" s="21">
        <f t="shared" ref="E30:E36" si="2">B30*C30*D30</f>
        <v>13884843.51683333</v>
      </c>
      <c r="F30" s="155"/>
    </row>
    <row r="31" spans="1:6" x14ac:dyDescent="0.35">
      <c r="A31" s="107" t="s">
        <v>277</v>
      </c>
      <c r="B31" s="20"/>
      <c r="C31" s="35"/>
      <c r="D31" s="39">
        <f>'tabla salarial'!AS4</f>
        <v>555393.74067333317</v>
      </c>
      <c r="E31" s="21">
        <f>B31*C31*D31</f>
        <v>0</v>
      </c>
      <c r="F31" s="155"/>
    </row>
    <row r="32" spans="1:6" x14ac:dyDescent="0.35">
      <c r="A32" s="107" t="s">
        <v>487</v>
      </c>
      <c r="B32" s="20">
        <v>1</v>
      </c>
      <c r="C32" s="40">
        <v>25</v>
      </c>
      <c r="D32" s="39">
        <f>'tabla salarial'!AS7</f>
        <v>371571.3297066667</v>
      </c>
      <c r="E32" s="21">
        <f>B32*C32*D32</f>
        <v>9289283.2426666673</v>
      </c>
      <c r="F32" s="155"/>
    </row>
    <row r="33" spans="1:6" x14ac:dyDescent="0.35">
      <c r="A33" s="107" t="s">
        <v>476</v>
      </c>
      <c r="B33" s="20">
        <v>2</v>
      </c>
      <c r="C33" s="40">
        <v>25</v>
      </c>
      <c r="D33" s="39">
        <f>'tabla salarial'!AS8</f>
        <v>355821.87609999999</v>
      </c>
      <c r="E33" s="21">
        <f>B33*C33*D33</f>
        <v>17791093.805</v>
      </c>
      <c r="F33" s="155"/>
    </row>
    <row r="34" spans="1:6" x14ac:dyDescent="0.35">
      <c r="A34" s="107" t="s">
        <v>274</v>
      </c>
      <c r="B34" s="20">
        <v>1</v>
      </c>
      <c r="C34" s="40">
        <v>25</v>
      </c>
      <c r="D34" s="39">
        <f>'tabla salarial'!AS7</f>
        <v>371571.3297066667</v>
      </c>
      <c r="E34" s="21">
        <f t="shared" si="2"/>
        <v>9289283.2426666673</v>
      </c>
      <c r="F34" s="155"/>
    </row>
    <row r="35" spans="1:6" x14ac:dyDescent="0.35">
      <c r="A35" s="107" t="s">
        <v>223</v>
      </c>
      <c r="B35" s="20">
        <v>1</v>
      </c>
      <c r="C35" s="40">
        <v>25</v>
      </c>
      <c r="D35" s="39">
        <f>'tabla salarial'!AS8</f>
        <v>355821.87609999999</v>
      </c>
      <c r="E35" s="21">
        <f>B35*C35*D35</f>
        <v>8895546.9024999999</v>
      </c>
      <c r="F35" s="155"/>
    </row>
    <row r="36" spans="1:6" x14ac:dyDescent="0.35">
      <c r="A36" s="107" t="s">
        <v>275</v>
      </c>
      <c r="B36" s="20">
        <v>3</v>
      </c>
      <c r="C36" s="40">
        <v>25</v>
      </c>
      <c r="D36" s="39">
        <f>'tabla salarial'!AS9</f>
        <v>382109.06042666658</v>
      </c>
      <c r="E36" s="21">
        <f t="shared" si="2"/>
        <v>28658179.531999994</v>
      </c>
      <c r="F36" s="155"/>
    </row>
    <row r="37" spans="1:6" x14ac:dyDescent="0.35">
      <c r="A37" s="287">
        <v>3</v>
      </c>
      <c r="B37" s="287"/>
      <c r="C37" s="287"/>
      <c r="D37" s="287"/>
      <c r="E37" s="287"/>
      <c r="F37" s="42">
        <f>SUM(E29:E36)</f>
        <v>101693073.75849998</v>
      </c>
    </row>
    <row r="38" spans="1:6" x14ac:dyDescent="0.35">
      <c r="A38" s="33" t="s">
        <v>279</v>
      </c>
      <c r="B38" s="34" t="s">
        <v>83</v>
      </c>
      <c r="C38" s="35" t="s">
        <v>84</v>
      </c>
      <c r="D38" s="36" t="s">
        <v>269</v>
      </c>
      <c r="E38" s="37" t="s">
        <v>86</v>
      </c>
      <c r="F38" s="170"/>
    </row>
    <row r="39" spans="1:6" x14ac:dyDescent="0.35">
      <c r="A39" s="108" t="s">
        <v>240</v>
      </c>
      <c r="B39" s="108">
        <v>1</v>
      </c>
      <c r="C39" s="108">
        <v>14</v>
      </c>
      <c r="D39" s="108">
        <f>IFERROR(VLOOKUP(A39,[1]!TablaTransporte[#Data],2,FALSE),0)</f>
        <v>550000</v>
      </c>
      <c r="E39" s="110">
        <f>B39*C39*D39</f>
        <v>7700000</v>
      </c>
      <c r="F39" s="171"/>
    </row>
    <row r="40" spans="1:6" x14ac:dyDescent="0.35">
      <c r="A40" s="108" t="s">
        <v>246</v>
      </c>
      <c r="B40" s="108">
        <v>1</v>
      </c>
      <c r="C40" s="108">
        <v>12</v>
      </c>
      <c r="D40" s="108">
        <f>IFERROR(VLOOKUP(A40,[1]!TablaTransporte[#Data],2,FALSE),0)</f>
        <v>322000</v>
      </c>
      <c r="E40" s="110">
        <f>B40*C40*D40</f>
        <v>3864000</v>
      </c>
      <c r="F40" s="171"/>
    </row>
    <row r="41" spans="1:6" x14ac:dyDescent="0.35">
      <c r="A41" s="108" t="s">
        <v>475</v>
      </c>
      <c r="B41" s="108">
        <v>1</v>
      </c>
      <c r="C41" s="108">
        <v>6</v>
      </c>
      <c r="D41" s="108">
        <f>IFERROR(VLOOKUP(A41,[1]!TablaTransporte[#Data],2,FALSE),0)</f>
        <v>4500000</v>
      </c>
      <c r="E41" s="110">
        <f>B41*C41*D41</f>
        <v>27000000</v>
      </c>
      <c r="F41" s="171"/>
    </row>
    <row r="42" spans="1:6" x14ac:dyDescent="0.35">
      <c r="A42" s="108" t="s">
        <v>381</v>
      </c>
      <c r="B42" s="108">
        <v>1</v>
      </c>
      <c r="C42" s="108">
        <v>20</v>
      </c>
      <c r="D42" s="108">
        <f>IFERROR(VLOOKUP(A42,[1]!TablaTransporte[#Data],2,FALSE),0)</f>
        <v>600000</v>
      </c>
      <c r="E42" s="110"/>
      <c r="F42" s="172"/>
    </row>
    <row r="43" spans="1:6" x14ac:dyDescent="0.35">
      <c r="A43" s="43"/>
      <c r="B43" s="43"/>
      <c r="C43" s="43"/>
      <c r="D43" s="43"/>
      <c r="E43" s="43"/>
      <c r="F43" s="42">
        <f>SUM(E39:E42)</f>
        <v>38564000</v>
      </c>
    </row>
    <row r="44" spans="1:6" x14ac:dyDescent="0.35">
      <c r="A44" s="288"/>
      <c r="B44" s="289"/>
      <c r="C44" s="289"/>
      <c r="D44" s="289"/>
      <c r="E44" s="290"/>
      <c r="F44" s="42">
        <f>F15+F27+F37+F43</f>
        <v>204505273.75849998</v>
      </c>
    </row>
    <row r="45" spans="1:6" ht="15" thickBot="1" x14ac:dyDescent="0.4">
      <c r="A45" s="291"/>
      <c r="B45" s="292"/>
      <c r="C45" s="292"/>
      <c r="D45" s="292"/>
      <c r="E45" s="293"/>
      <c r="F45" s="44">
        <f>F44*A45</f>
        <v>0</v>
      </c>
    </row>
    <row r="46" spans="1:6" ht="15" thickBot="1" x14ac:dyDescent="0.4">
      <c r="A46" s="299"/>
      <c r="B46" s="300"/>
      <c r="C46" s="300"/>
      <c r="D46" s="300"/>
      <c r="E46" s="301"/>
      <c r="F46" s="28">
        <f>F44+F45</f>
        <v>204505273.75849998</v>
      </c>
    </row>
    <row r="47" spans="1:6" ht="15" thickBot="1" x14ac:dyDescent="0.4">
      <c r="A47" s="302"/>
      <c r="B47" s="300"/>
      <c r="C47" s="300"/>
      <c r="D47" s="300"/>
      <c r="E47" s="301"/>
      <c r="F47" s="28">
        <f>F46*A47</f>
        <v>0</v>
      </c>
    </row>
    <row r="48" spans="1:6" ht="15" thickBot="1" x14ac:dyDescent="0.4">
      <c r="A48" s="286"/>
      <c r="B48" s="286"/>
      <c r="C48" s="286"/>
      <c r="D48" s="286"/>
      <c r="E48" s="286"/>
      <c r="F48" s="28">
        <f>F46+F47</f>
        <v>204505273.75849998</v>
      </c>
    </row>
    <row r="49" spans="6:6" x14ac:dyDescent="0.35">
      <c r="F49" s="224">
        <f>F48/F3</f>
        <v>619712.95078333328</v>
      </c>
    </row>
  </sheetData>
  <mergeCells count="9">
    <mergeCell ref="A1:F1"/>
    <mergeCell ref="A15:E15"/>
    <mergeCell ref="A46:E46"/>
    <mergeCell ref="A47:E47"/>
    <mergeCell ref="A48:E48"/>
    <mergeCell ref="A37:E37"/>
    <mergeCell ref="A44:E44"/>
    <mergeCell ref="A45:E45"/>
    <mergeCell ref="A27:E27"/>
  </mergeCells>
  <dataValidations count="3">
    <dataValidation type="list" allowBlank="1" showInputMessage="1" showErrorMessage="1" sqref="A40:A42" xr:uid="{2B0634BB-0810-49F0-B19F-EDF95E19ABB8}">
      <formula1>ListaTransporte</formula1>
    </dataValidation>
    <dataValidation type="list" allowBlank="1" showInputMessage="1" showErrorMessage="1" sqref="A17:A27" xr:uid="{A8B87F8B-F26C-4F4F-8302-7D9F0E54499D}">
      <formula1>ListaMateriales</formula1>
    </dataValidation>
    <dataValidation type="list" allowBlank="1" showInputMessage="1" showErrorMessage="1" sqref="A3:A15" xr:uid="{89BBECF5-B2FC-4EAF-9C2C-87F715BC1ADF}">
      <formula1>ListaEquipos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C6A70-2CFF-456C-AA9E-5F709532801A}">
  <sheetPr>
    <tabColor rgb="FF00B050"/>
  </sheetPr>
  <dimension ref="A1:F51"/>
  <sheetViews>
    <sheetView workbookViewId="0">
      <selection activeCell="A4" sqref="A4:B11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190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7</v>
      </c>
    </row>
    <row r="4" spans="1:6" x14ac:dyDescent="0.35">
      <c r="A4" s="24" t="s">
        <v>233</v>
      </c>
      <c r="B4" s="22">
        <v>1</v>
      </c>
      <c r="C4" s="23">
        <v>3</v>
      </c>
      <c r="D4" s="24">
        <f>IFERROR(VLOOKUP(A4,[1]!TablaEquipos[#Data],2,FALSE),0)</f>
        <v>500</v>
      </c>
      <c r="E4" s="25">
        <f t="shared" ref="E4:E12" si="0">B4*C4*D4</f>
        <v>1500</v>
      </c>
      <c r="F4" s="62"/>
    </row>
    <row r="5" spans="1:6" x14ac:dyDescent="0.35">
      <c r="A5" s="26" t="s">
        <v>232</v>
      </c>
      <c r="B5" s="22">
        <v>1</v>
      </c>
      <c r="C5" s="23">
        <v>3</v>
      </c>
      <c r="D5" s="24">
        <f>IFERROR(VLOOKUP(A5,[1]!TablaEquipos[#Data],2,FALSE),0)</f>
        <v>500</v>
      </c>
      <c r="E5" s="25">
        <f t="shared" si="0"/>
        <v>1500</v>
      </c>
      <c r="F5" s="62"/>
    </row>
    <row r="6" spans="1:6" x14ac:dyDescent="0.35">
      <c r="A6" s="26" t="s">
        <v>237</v>
      </c>
      <c r="B6" s="22">
        <v>1</v>
      </c>
      <c r="C6" s="23">
        <v>3</v>
      </c>
      <c r="D6" s="24">
        <f>IFERROR(VLOOKUP(A6,[1]!TablaEquipos[#Data],2,FALSE),0)</f>
        <v>1000</v>
      </c>
      <c r="E6" s="25">
        <f t="shared" si="0"/>
        <v>3000</v>
      </c>
      <c r="F6" s="62"/>
    </row>
    <row r="7" spans="1:6" x14ac:dyDescent="0.35">
      <c r="A7" s="24" t="s">
        <v>491</v>
      </c>
      <c r="B7" s="22">
        <v>1</v>
      </c>
      <c r="C7" s="23">
        <v>3</v>
      </c>
      <c r="D7" s="24">
        <f>IFERROR(VLOOKUP(A7,[1]!TablaEquipos[#Data],2,FALSE),0)</f>
        <v>3000</v>
      </c>
      <c r="E7" s="25">
        <f t="shared" si="0"/>
        <v>9000</v>
      </c>
      <c r="F7" s="62"/>
    </row>
    <row r="8" spans="1:6" x14ac:dyDescent="0.35">
      <c r="A8" s="24" t="s">
        <v>252</v>
      </c>
      <c r="B8" s="22">
        <v>2</v>
      </c>
      <c r="C8" s="23">
        <v>3</v>
      </c>
      <c r="D8" s="24">
        <f>IFERROR(VLOOKUP(A8,[1]!TablaEquipos[#Data],2,FALSE),0)</f>
        <v>700</v>
      </c>
      <c r="E8" s="25">
        <f t="shared" si="0"/>
        <v>4200</v>
      </c>
      <c r="F8" s="62"/>
    </row>
    <row r="9" spans="1:6" x14ac:dyDescent="0.35">
      <c r="A9" s="81" t="s">
        <v>229</v>
      </c>
      <c r="B9" s="82">
        <v>6</v>
      </c>
      <c r="C9" s="23">
        <v>3</v>
      </c>
      <c r="D9" s="81">
        <f>IFERROR(VLOOKUP(A9,[1]!TablaEquipos[#Data],2,FALSE),0)</f>
        <v>1500</v>
      </c>
      <c r="E9" s="25">
        <f t="shared" si="0"/>
        <v>27000</v>
      </c>
      <c r="F9" s="62"/>
    </row>
    <row r="10" spans="1:6" x14ac:dyDescent="0.35">
      <c r="A10" s="24" t="s">
        <v>226</v>
      </c>
      <c r="B10" s="22">
        <v>1</v>
      </c>
      <c r="C10" s="23">
        <v>3</v>
      </c>
      <c r="D10" s="24">
        <f>IFERROR(VLOOKUP(A10,[1]!TablaEquipos[#Data],2,FALSE),0)</f>
        <v>700</v>
      </c>
      <c r="E10" s="25">
        <f t="shared" si="0"/>
        <v>2100</v>
      </c>
      <c r="F10" s="62"/>
    </row>
    <row r="11" spans="1:6" x14ac:dyDescent="0.35">
      <c r="A11" s="24" t="s">
        <v>490</v>
      </c>
      <c r="B11" s="22">
        <v>1</v>
      </c>
      <c r="C11" s="23">
        <v>3</v>
      </c>
      <c r="D11" s="24">
        <f>IFERROR(VLOOKUP(A11,[1]!TablaEquipos[#Data],2,FALSE),0)</f>
        <v>1000</v>
      </c>
      <c r="E11" s="25">
        <f t="shared" si="0"/>
        <v>3000</v>
      </c>
      <c r="F11" s="62"/>
    </row>
    <row r="12" spans="1:6" x14ac:dyDescent="0.35">
      <c r="A12" s="24"/>
      <c r="B12" s="22"/>
      <c r="C12" s="23"/>
      <c r="D12" s="24">
        <f>IFERROR(VLOOKUP(A12,[1]!TablaEquipos[#Data],2,FALSE),0)</f>
        <v>0</v>
      </c>
      <c r="E12" s="25">
        <f t="shared" si="0"/>
        <v>0</v>
      </c>
      <c r="F12" s="62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/>
      <c r="F13" s="62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/>
      <c r="F14" s="62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/>
      <c r="F15" s="62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62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62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62"/>
    </row>
    <row r="19" spans="1:6" ht="15" thickBot="1" x14ac:dyDescent="0.4">
      <c r="A19" s="294"/>
      <c r="B19" s="295"/>
      <c r="C19" s="295"/>
      <c r="D19" s="295"/>
      <c r="E19" s="295"/>
      <c r="F19" s="84">
        <f>SUM(E4:E18)</f>
        <v>51300</v>
      </c>
    </row>
    <row r="20" spans="1:6" x14ac:dyDescent="0.35">
      <c r="A20" s="33" t="s">
        <v>270</v>
      </c>
      <c r="B20" s="34" t="s">
        <v>83</v>
      </c>
      <c r="C20" s="45" t="s">
        <v>84</v>
      </c>
      <c r="D20" s="46" t="s">
        <v>269</v>
      </c>
      <c r="E20" s="37" t="s">
        <v>86</v>
      </c>
      <c r="F20" s="168"/>
    </row>
    <row r="21" spans="1:6" x14ac:dyDescent="0.35">
      <c r="A21" s="24" t="s">
        <v>489</v>
      </c>
      <c r="B21" s="22">
        <v>5</v>
      </c>
      <c r="C21" s="29"/>
      <c r="D21" s="27">
        <f>IFERROR(VLOOKUP(A21,[1]!TablaMateriales[#Data],2,FALSE),0)</f>
        <v>14000</v>
      </c>
      <c r="E21" s="25">
        <f t="shared" ref="E21:E26" si="1">B21*D21</f>
        <v>70000</v>
      </c>
      <c r="F21" s="155"/>
    </row>
    <row r="22" spans="1:6" x14ac:dyDescent="0.35">
      <c r="A22" s="30" t="s">
        <v>488</v>
      </c>
      <c r="B22" s="22">
        <v>8</v>
      </c>
      <c r="C22" s="29"/>
      <c r="D22" s="27">
        <f>IFERROR(VLOOKUP(A22,[1]!TablaMateriales[#Data],2,FALSE),0)</f>
        <v>123700</v>
      </c>
      <c r="E22" s="25">
        <f t="shared" si="1"/>
        <v>989600</v>
      </c>
      <c r="F22" s="155"/>
    </row>
    <row r="23" spans="1:6" x14ac:dyDescent="0.35">
      <c r="A23" s="30" t="s">
        <v>409</v>
      </c>
      <c r="B23" s="22">
        <v>8</v>
      </c>
      <c r="C23" s="29"/>
      <c r="D23" s="27">
        <f>IFERROR(VLOOKUP(A23,[1]!TablaMateriales[#Data],2,FALSE),0)</f>
        <v>53000</v>
      </c>
      <c r="E23" s="25">
        <f t="shared" si="1"/>
        <v>424000</v>
      </c>
      <c r="F23" s="155"/>
    </row>
    <row r="24" spans="1:6" x14ac:dyDescent="0.35">
      <c r="A24" s="30" t="s">
        <v>254</v>
      </c>
      <c r="B24" s="22">
        <v>8</v>
      </c>
      <c r="C24" s="29"/>
      <c r="D24" s="27">
        <f>IFERROR(VLOOKUP(A24,[1]!TablaMateriales[#Data],2,FALSE),0)</f>
        <v>20000</v>
      </c>
      <c r="E24" s="25">
        <f t="shared" si="1"/>
        <v>160000</v>
      </c>
      <c r="F24" s="155"/>
    </row>
    <row r="25" spans="1:6" x14ac:dyDescent="0.35">
      <c r="A25" s="30" t="s">
        <v>484</v>
      </c>
      <c r="B25" s="78">
        <v>10</v>
      </c>
      <c r="C25" s="23"/>
      <c r="D25" s="27">
        <f>IFERROR(VLOOKUP(A25,[1]!TablaMateriales[#Data],2,FALSE),0)</f>
        <v>12000</v>
      </c>
      <c r="E25" s="25">
        <f t="shared" si="1"/>
        <v>120000</v>
      </c>
      <c r="F25" s="155"/>
    </row>
    <row r="26" spans="1:6" x14ac:dyDescent="0.35">
      <c r="A26" s="30" t="s">
        <v>471</v>
      </c>
      <c r="B26" s="78">
        <v>14</v>
      </c>
      <c r="C26" s="23"/>
      <c r="D26" s="27">
        <f>IFERROR(VLOOKUP(A26,[1]!TablaMateriales[#Data],2,FALSE),0)</f>
        <v>4300</v>
      </c>
      <c r="E26" s="25">
        <f t="shared" si="1"/>
        <v>60200</v>
      </c>
      <c r="F26" s="155"/>
    </row>
    <row r="27" spans="1:6" x14ac:dyDescent="0.35">
      <c r="A27" s="31"/>
      <c r="B27" s="78"/>
      <c r="C27" s="23"/>
      <c r="D27" s="27">
        <f>IFERROR(VLOOKUP(A27,[1]!TablaMateriales[#Data],2,FALSE),0)</f>
        <v>0</v>
      </c>
      <c r="E27" s="27"/>
      <c r="F27" s="173"/>
    </row>
    <row r="28" spans="1:6" ht="15" thickBot="1" x14ac:dyDescent="0.4">
      <c r="A28" s="31"/>
      <c r="B28" s="78"/>
      <c r="C28" s="23"/>
      <c r="D28" s="27">
        <f>IFERROR(VLOOKUP(A28,[1]!TablaMateriales[#Data],2,FALSE),0)</f>
        <v>0</v>
      </c>
      <c r="E28" s="27"/>
      <c r="F28" s="173"/>
    </row>
    <row r="29" spans="1:6" ht="15" thickBot="1" x14ac:dyDescent="0.4">
      <c r="A29" s="296"/>
      <c r="B29" s="297"/>
      <c r="C29" s="297"/>
      <c r="D29" s="297"/>
      <c r="E29" s="298"/>
      <c r="F29" s="28">
        <f>SUM(E21:E28)</f>
        <v>1823800</v>
      </c>
    </row>
    <row r="30" spans="1:6" x14ac:dyDescent="0.35">
      <c r="A30" s="33" t="s">
        <v>88</v>
      </c>
      <c r="B30" s="34" t="s">
        <v>83</v>
      </c>
      <c r="C30" s="35" t="s">
        <v>84</v>
      </c>
      <c r="D30" s="36" t="s">
        <v>89</v>
      </c>
      <c r="E30" s="37" t="s">
        <v>86</v>
      </c>
      <c r="F30" s="168"/>
    </row>
    <row r="31" spans="1:6" x14ac:dyDescent="0.35">
      <c r="A31" s="38" t="s">
        <v>272</v>
      </c>
      <c r="B31" s="34">
        <v>1</v>
      </c>
      <c r="C31" s="35">
        <v>3.79</v>
      </c>
      <c r="D31" s="39">
        <f>'tabla salarial'!AS4</f>
        <v>555393.74067333317</v>
      </c>
      <c r="E31" s="37">
        <f>B31*C31*D31</f>
        <v>2104942.2771519329</v>
      </c>
      <c r="F31" s="155"/>
    </row>
    <row r="32" spans="1:6" x14ac:dyDescent="0.35">
      <c r="A32" s="107" t="s">
        <v>273</v>
      </c>
      <c r="B32" s="20">
        <v>1</v>
      </c>
      <c r="C32" s="40">
        <v>3.79</v>
      </c>
      <c r="D32" s="39">
        <f>'tabla salarial'!AS4</f>
        <v>555393.74067333317</v>
      </c>
      <c r="E32" s="21">
        <f t="shared" ref="E32:E38" si="2">B32*C32*D32</f>
        <v>2104942.2771519329</v>
      </c>
      <c r="F32" s="155"/>
    </row>
    <row r="33" spans="1:6" x14ac:dyDescent="0.35">
      <c r="A33" s="107" t="s">
        <v>277</v>
      </c>
      <c r="B33" s="20"/>
      <c r="C33" s="35"/>
      <c r="D33" s="39">
        <f>'tabla salarial'!AS4</f>
        <v>555393.74067333317</v>
      </c>
      <c r="E33" s="21">
        <f>B33*C33*D33</f>
        <v>0</v>
      </c>
      <c r="F33" s="155"/>
    </row>
    <row r="34" spans="1:6" x14ac:dyDescent="0.35">
      <c r="A34" s="107" t="s">
        <v>278</v>
      </c>
      <c r="B34" s="20"/>
      <c r="C34" s="35"/>
      <c r="D34" s="39">
        <f>'tabla salarial'!AS6</f>
        <v>407197.80492666672</v>
      </c>
      <c r="E34" s="21">
        <f>B34*C34*D34</f>
        <v>0</v>
      </c>
      <c r="F34" s="155"/>
    </row>
    <row r="35" spans="1:6" x14ac:dyDescent="0.35">
      <c r="A35" s="107" t="s">
        <v>276</v>
      </c>
      <c r="B35" s="20"/>
      <c r="C35" s="35"/>
      <c r="D35" s="39">
        <f>'tabla salarial'!AS6</f>
        <v>407197.80492666672</v>
      </c>
      <c r="E35" s="21">
        <f>B35*C35*D35</f>
        <v>0</v>
      </c>
      <c r="F35" s="155"/>
    </row>
    <row r="36" spans="1:6" x14ac:dyDescent="0.35">
      <c r="A36" s="107" t="s">
        <v>274</v>
      </c>
      <c r="B36" s="20">
        <v>2</v>
      </c>
      <c r="C36" s="35">
        <v>3.79</v>
      </c>
      <c r="D36" s="39">
        <f>'tabla salarial'!AS7</f>
        <v>371571.3297066667</v>
      </c>
      <c r="E36" s="21">
        <f t="shared" si="2"/>
        <v>2816510.6791765336</v>
      </c>
      <c r="F36" s="155"/>
    </row>
    <row r="37" spans="1:6" x14ac:dyDescent="0.35">
      <c r="A37" s="107" t="s">
        <v>223</v>
      </c>
      <c r="B37" s="20">
        <v>1</v>
      </c>
      <c r="C37" s="35">
        <v>3.79</v>
      </c>
      <c r="D37" s="39">
        <f>'tabla salarial'!AS8</f>
        <v>355821.87609999999</v>
      </c>
      <c r="E37" s="21">
        <f>B37*C37*D37</f>
        <v>1348564.9104190001</v>
      </c>
      <c r="F37" s="155"/>
    </row>
    <row r="38" spans="1:6" x14ac:dyDescent="0.35">
      <c r="A38" s="107" t="s">
        <v>275</v>
      </c>
      <c r="B38" s="20">
        <v>6</v>
      </c>
      <c r="C38" s="40">
        <v>3.79</v>
      </c>
      <c r="D38" s="39">
        <f>'tabla salarial'!AS9</f>
        <v>382109.06042666658</v>
      </c>
      <c r="E38" s="21">
        <f t="shared" si="2"/>
        <v>8689160.0341023989</v>
      </c>
      <c r="F38" s="155"/>
    </row>
    <row r="39" spans="1:6" x14ac:dyDescent="0.35">
      <c r="A39" s="287"/>
      <c r="B39" s="287"/>
      <c r="C39" s="287"/>
      <c r="D39" s="287"/>
      <c r="E39" s="287"/>
      <c r="F39" s="42">
        <f>SUM(E31:E38)</f>
        <v>17064120.178001799</v>
      </c>
    </row>
    <row r="40" spans="1:6" x14ac:dyDescent="0.35">
      <c r="A40" s="33" t="s">
        <v>279</v>
      </c>
      <c r="B40" s="34" t="s">
        <v>83</v>
      </c>
      <c r="C40" s="35" t="s">
        <v>84</v>
      </c>
      <c r="D40" s="36" t="s">
        <v>269</v>
      </c>
      <c r="E40" s="37" t="s">
        <v>86</v>
      </c>
      <c r="F40" s="170"/>
    </row>
    <row r="41" spans="1:6" x14ac:dyDescent="0.35">
      <c r="A41" s="164" t="s">
        <v>240</v>
      </c>
      <c r="B41" s="108">
        <v>1</v>
      </c>
      <c r="C41" s="108">
        <v>1</v>
      </c>
      <c r="D41" s="108">
        <f>IFERROR(VLOOKUP(A41,[1]!TablaTransporte[#Data],2,FALSE),0)</f>
        <v>550000</v>
      </c>
      <c r="E41" s="110">
        <f>B41*C41*D41</f>
        <v>550000</v>
      </c>
      <c r="F41" s="171"/>
    </row>
    <row r="42" spans="1:6" x14ac:dyDescent="0.35">
      <c r="A42" s="164" t="s">
        <v>245</v>
      </c>
      <c r="B42" s="214">
        <v>0.5</v>
      </c>
      <c r="C42" s="108">
        <v>2</v>
      </c>
      <c r="D42" s="108">
        <f>IFERROR(VLOOKUP(A42,[1]!TablaTransporte[#Data],2,FALSE),0)</f>
        <v>1350000</v>
      </c>
      <c r="E42" s="108">
        <f>B42*C42*D42</f>
        <v>1350000</v>
      </c>
      <c r="F42" s="171"/>
    </row>
    <row r="43" spans="1:6" x14ac:dyDescent="0.35">
      <c r="A43" s="164" t="s">
        <v>381</v>
      </c>
      <c r="B43" s="108">
        <v>1</v>
      </c>
      <c r="C43" s="108">
        <v>3</v>
      </c>
      <c r="D43" s="108">
        <f>IFERROR(VLOOKUP(A43,[1]!TablaTransporte[#Data],2,FALSE),0)</f>
        <v>600000</v>
      </c>
      <c r="E43" s="108">
        <f>B43*C43*D43</f>
        <v>1800000</v>
      </c>
      <c r="F43" s="171"/>
    </row>
    <row r="44" spans="1:6" x14ac:dyDescent="0.35">
      <c r="A44" s="164"/>
      <c r="B44" s="108"/>
      <c r="C44" s="108"/>
      <c r="D44" s="108">
        <f>IFERROR(VLOOKUP(A44,[1]!TablaTransporte[#Data],2,FALSE),0)</f>
        <v>0</v>
      </c>
      <c r="E44" s="108"/>
      <c r="F44" s="172"/>
    </row>
    <row r="45" spans="1:6" x14ac:dyDescent="0.35">
      <c r="A45" s="43"/>
      <c r="B45" s="43"/>
      <c r="C45" s="43"/>
      <c r="D45" s="43"/>
      <c r="E45" s="43"/>
      <c r="F45" s="42">
        <f>SUM(E41:E44)</f>
        <v>3700000</v>
      </c>
    </row>
    <row r="46" spans="1:6" x14ac:dyDescent="0.35">
      <c r="A46" s="288"/>
      <c r="B46" s="289"/>
      <c r="C46" s="289"/>
      <c r="D46" s="289"/>
      <c r="E46" s="290"/>
      <c r="F46" s="42">
        <f>F19+F29+F39+F45</f>
        <v>22639220.178001799</v>
      </c>
    </row>
    <row r="47" spans="1:6" ht="15" thickBot="1" x14ac:dyDescent="0.4">
      <c r="A47" s="291"/>
      <c r="B47" s="292"/>
      <c r="C47" s="292"/>
      <c r="D47" s="292"/>
      <c r="E47" s="293"/>
      <c r="F47" s="44">
        <f>F46*A47</f>
        <v>0</v>
      </c>
    </row>
    <row r="48" spans="1:6" ht="15" thickBot="1" x14ac:dyDescent="0.4">
      <c r="A48" s="299"/>
      <c r="B48" s="300"/>
      <c r="C48" s="300"/>
      <c r="D48" s="300"/>
      <c r="E48" s="301"/>
      <c r="F48" s="28">
        <f>F46+F47</f>
        <v>22639220.178001799</v>
      </c>
    </row>
    <row r="49" spans="1:6" ht="15" thickBot="1" x14ac:dyDescent="0.4">
      <c r="A49" s="302"/>
      <c r="B49" s="300"/>
      <c r="C49" s="300"/>
      <c r="D49" s="300"/>
      <c r="E49" s="301"/>
      <c r="F49" s="28">
        <f>F48*A49</f>
        <v>0</v>
      </c>
    </row>
    <row r="50" spans="1:6" ht="15" thickBot="1" x14ac:dyDescent="0.4">
      <c r="A50" s="286"/>
      <c r="B50" s="286"/>
      <c r="C50" s="286"/>
      <c r="D50" s="286"/>
      <c r="E50" s="286"/>
      <c r="F50" s="28">
        <f>F48+F49</f>
        <v>22639220.178001799</v>
      </c>
    </row>
    <row r="51" spans="1:6" x14ac:dyDescent="0.35">
      <c r="F51" s="224">
        <f>F50/F3</f>
        <v>3234174.3111431142</v>
      </c>
    </row>
  </sheetData>
  <mergeCells count="9">
    <mergeCell ref="A1:F1"/>
    <mergeCell ref="A19:E19"/>
    <mergeCell ref="A48:E48"/>
    <mergeCell ref="A49:E49"/>
    <mergeCell ref="A50:E50"/>
    <mergeCell ref="A39:E39"/>
    <mergeCell ref="A46:E46"/>
    <mergeCell ref="A47:E47"/>
    <mergeCell ref="A29:E29"/>
  </mergeCells>
  <dataValidations count="3">
    <dataValidation type="list" allowBlank="1" showInputMessage="1" showErrorMessage="1" sqref="A42:A44" xr:uid="{3367939C-1E82-4432-83F8-E646E6284A06}">
      <formula1>ListaTransporte</formula1>
    </dataValidation>
    <dataValidation type="list" allowBlank="1" showInputMessage="1" showErrorMessage="1" sqref="A3:A19" xr:uid="{8F692542-C833-4D33-B402-EB8A2495E5C3}">
      <formula1>ListaEquipos</formula1>
    </dataValidation>
    <dataValidation type="list" allowBlank="1" showInputMessage="1" showErrorMessage="1" sqref="A21:A29" xr:uid="{B50279E5-7B0D-4FC1-A13B-DCFE62BED77B}">
      <formula1>ListaMateriales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C0D6-521E-4BA5-83EE-94CBA2802B09}">
  <sheetPr>
    <tabColor rgb="FF00B050"/>
  </sheetPr>
  <dimension ref="A1:F63"/>
  <sheetViews>
    <sheetView topLeftCell="A43" workbookViewId="0">
      <selection activeCell="C50" sqref="C50"/>
    </sheetView>
  </sheetViews>
  <sheetFormatPr baseColWidth="10" defaultRowHeight="14.5" x14ac:dyDescent="0.35"/>
  <cols>
    <col min="1" max="1" width="25.81640625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191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9</v>
      </c>
    </row>
    <row r="4" spans="1:6" x14ac:dyDescent="0.35">
      <c r="A4" s="24" t="s">
        <v>252</v>
      </c>
      <c r="B4" s="22">
        <v>2</v>
      </c>
      <c r="C4" s="23">
        <v>4</v>
      </c>
      <c r="D4" s="24">
        <f>IFERROR(VLOOKUP(A4,[1]!TablaEquipos[#Data],2,FALSE),0)</f>
        <v>700</v>
      </c>
      <c r="E4" s="25">
        <f t="shared" ref="E4:E18" si="0">B4*C4*D4</f>
        <v>5600</v>
      </c>
      <c r="F4" s="310"/>
    </row>
    <row r="5" spans="1:6" x14ac:dyDescent="0.35">
      <c r="A5" s="26" t="s">
        <v>443</v>
      </c>
      <c r="B5" s="22">
        <v>1</v>
      </c>
      <c r="C5" s="23">
        <v>4</v>
      </c>
      <c r="D5" s="24">
        <f>IFERROR(VLOOKUP(A5,[1]!TablaEquipos[#Data],2,FALSE),0)</f>
        <v>5000</v>
      </c>
      <c r="E5" s="25">
        <f t="shared" si="0"/>
        <v>20000</v>
      </c>
      <c r="F5" s="310"/>
    </row>
    <row r="6" spans="1:6" x14ac:dyDescent="0.35">
      <c r="A6" s="26" t="s">
        <v>227</v>
      </c>
      <c r="B6" s="22">
        <v>2</v>
      </c>
      <c r="C6" s="23">
        <v>4</v>
      </c>
      <c r="D6" s="24">
        <f>IFERROR(VLOOKUP(A6,[1]!TablaEquipos[#Data],2,FALSE),0)</f>
        <v>700</v>
      </c>
      <c r="E6" s="25">
        <f t="shared" si="0"/>
        <v>5600</v>
      </c>
      <c r="F6" s="310"/>
    </row>
    <row r="7" spans="1:6" x14ac:dyDescent="0.35">
      <c r="A7" s="24" t="s">
        <v>448</v>
      </c>
      <c r="B7" s="22">
        <v>4</v>
      </c>
      <c r="C7" s="23">
        <v>4</v>
      </c>
      <c r="D7" s="24">
        <f>IFERROR(VLOOKUP(A7,[1]!TablaEquipos[#Data],2,FALSE),0)</f>
        <v>700</v>
      </c>
      <c r="E7" s="25">
        <f t="shared" si="0"/>
        <v>11200</v>
      </c>
      <c r="F7" s="310"/>
    </row>
    <row r="8" spans="1:6" x14ac:dyDescent="0.35">
      <c r="A8" s="26" t="s">
        <v>492</v>
      </c>
      <c r="B8" s="22">
        <v>3</v>
      </c>
      <c r="C8" s="23">
        <v>4</v>
      </c>
      <c r="D8" s="24">
        <f>IFERROR(VLOOKUP(A8,[1]!TablaEquipos[#Data],2,FALSE),0)</f>
        <v>1000</v>
      </c>
      <c r="E8" s="25">
        <f t="shared" si="0"/>
        <v>12000</v>
      </c>
      <c r="F8" s="310"/>
    </row>
    <row r="9" spans="1:6" x14ac:dyDescent="0.35">
      <c r="A9" s="24" t="s">
        <v>233</v>
      </c>
      <c r="B9" s="22">
        <v>1</v>
      </c>
      <c r="C9" s="23">
        <v>4</v>
      </c>
      <c r="D9" s="24">
        <f>IFERROR(VLOOKUP(A9,[1]!TablaEquipos[#Data],2,FALSE),0)</f>
        <v>500</v>
      </c>
      <c r="E9" s="25">
        <f t="shared" si="0"/>
        <v>2000</v>
      </c>
      <c r="F9" s="310"/>
    </row>
    <row r="10" spans="1:6" x14ac:dyDescent="0.35">
      <c r="A10" s="26" t="s">
        <v>232</v>
      </c>
      <c r="B10" s="22">
        <v>1</v>
      </c>
      <c r="C10" s="23">
        <v>4</v>
      </c>
      <c r="D10" s="24">
        <f>IFERROR(VLOOKUP(A10,[1]!TablaEquipos[#Data],2,FALSE),0)</f>
        <v>500</v>
      </c>
      <c r="E10" s="25">
        <f t="shared" si="0"/>
        <v>2000</v>
      </c>
      <c r="F10" s="310"/>
    </row>
    <row r="11" spans="1:6" x14ac:dyDescent="0.35">
      <c r="A11" s="26" t="s">
        <v>237</v>
      </c>
      <c r="B11" s="22">
        <v>1</v>
      </c>
      <c r="C11" s="23">
        <v>4</v>
      </c>
      <c r="D11" s="24">
        <f>IFERROR(VLOOKUP(A11,[1]!TablaEquipos[#Data],2,FALSE),0)</f>
        <v>1000</v>
      </c>
      <c r="E11" s="25">
        <f t="shared" si="0"/>
        <v>4000</v>
      </c>
      <c r="F11" s="310"/>
    </row>
    <row r="12" spans="1:6" x14ac:dyDescent="0.35">
      <c r="A12" s="24" t="s">
        <v>491</v>
      </c>
      <c r="B12" s="22">
        <v>1</v>
      </c>
      <c r="C12" s="23">
        <v>4</v>
      </c>
      <c r="D12" s="24">
        <f>IFERROR(VLOOKUP(A12,[1]!TablaEquipos[#Data],2,FALSE),0)</f>
        <v>3000</v>
      </c>
      <c r="E12" s="25">
        <f t="shared" si="0"/>
        <v>12000</v>
      </c>
      <c r="F12" s="310"/>
    </row>
    <row r="13" spans="1:6" x14ac:dyDescent="0.35">
      <c r="A13" s="24" t="s">
        <v>252</v>
      </c>
      <c r="B13" s="22">
        <v>2</v>
      </c>
      <c r="C13" s="23">
        <v>4</v>
      </c>
      <c r="D13" s="24">
        <f>IFERROR(VLOOKUP(A13,[1]!TablaEquipos[#Data],2,FALSE),0)</f>
        <v>700</v>
      </c>
      <c r="E13" s="25">
        <f t="shared" si="0"/>
        <v>5600</v>
      </c>
      <c r="F13" s="310"/>
    </row>
    <row r="14" spans="1:6" x14ac:dyDescent="0.35">
      <c r="A14" s="81" t="s">
        <v>229</v>
      </c>
      <c r="B14" s="82">
        <v>5</v>
      </c>
      <c r="C14" s="23">
        <v>4</v>
      </c>
      <c r="D14" s="24">
        <f>IFERROR(VLOOKUP(A14,[1]!TablaEquipos[#Data],2,FALSE),0)</f>
        <v>1500</v>
      </c>
      <c r="E14" s="25">
        <f t="shared" si="0"/>
        <v>30000</v>
      </c>
      <c r="F14" s="310"/>
    </row>
    <row r="15" spans="1:6" x14ac:dyDescent="0.35">
      <c r="A15" s="24" t="s">
        <v>226</v>
      </c>
      <c r="B15" s="22">
        <v>1</v>
      </c>
      <c r="C15" s="23">
        <v>4</v>
      </c>
      <c r="D15" s="24">
        <f>IFERROR(VLOOKUP(A15,[1]!TablaEquipos[#Data],2,FALSE),0)</f>
        <v>700</v>
      </c>
      <c r="E15" s="25">
        <f t="shared" si="0"/>
        <v>2800</v>
      </c>
      <c r="F15" s="310"/>
    </row>
    <row r="16" spans="1:6" x14ac:dyDescent="0.35">
      <c r="A16" s="24" t="s">
        <v>490</v>
      </c>
      <c r="B16" s="22">
        <v>1</v>
      </c>
      <c r="C16" s="23">
        <v>4</v>
      </c>
      <c r="D16" s="24">
        <f>IFERROR(VLOOKUP(A16,[1]!TablaEquipos[#Data],2,FALSE),0)</f>
        <v>1000</v>
      </c>
      <c r="E16" s="25">
        <f t="shared" si="0"/>
        <v>4000</v>
      </c>
      <c r="F16" s="310"/>
    </row>
    <row r="17" spans="1:6" x14ac:dyDescent="0.35">
      <c r="A17" s="24" t="s">
        <v>447</v>
      </c>
      <c r="B17" s="22">
        <v>2</v>
      </c>
      <c r="C17" s="23">
        <v>4</v>
      </c>
      <c r="D17" s="24">
        <f>IFERROR(VLOOKUP(A17,[1]!TablaEquipos[#Data],2,FALSE),0)</f>
        <v>700</v>
      </c>
      <c r="E17" s="25">
        <f t="shared" si="0"/>
        <v>5600</v>
      </c>
      <c r="F17" s="310"/>
    </row>
    <row r="18" spans="1:6" x14ac:dyDescent="0.35">
      <c r="A18" s="24" t="s">
        <v>337</v>
      </c>
      <c r="B18" s="22">
        <v>5</v>
      </c>
      <c r="C18" s="23">
        <v>4</v>
      </c>
      <c r="D18" s="24">
        <f>IFERROR(VLOOKUP(A18,[1]!TablaEquipos[#Data],2,FALSE),0)</f>
        <v>500</v>
      </c>
      <c r="E18" s="25">
        <f t="shared" si="0"/>
        <v>10000</v>
      </c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132400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397</v>
      </c>
      <c r="B24" s="22">
        <v>440</v>
      </c>
      <c r="C24" s="29"/>
      <c r="D24" s="27">
        <f>IFERROR(VLOOKUP(A24,[1]!TablaMateriales[#Data],2,FALSE),0)</f>
        <v>1200</v>
      </c>
      <c r="E24" s="25">
        <f>B24*D24</f>
        <v>528000</v>
      </c>
      <c r="F24" s="281"/>
    </row>
    <row r="25" spans="1:6" x14ac:dyDescent="0.35">
      <c r="A25" s="30" t="s">
        <v>309</v>
      </c>
      <c r="B25" s="22">
        <v>16</v>
      </c>
      <c r="C25" s="29"/>
      <c r="D25" s="27">
        <f>IFERROR(VLOOKUP(A25,[1]!TablaMateriales[#Data],2,FALSE),0)</f>
        <v>56327</v>
      </c>
      <c r="E25" s="25">
        <f>B25*D25</f>
        <v>901232</v>
      </c>
      <c r="F25" s="281"/>
    </row>
    <row r="26" spans="1:6" x14ac:dyDescent="0.35">
      <c r="A26" s="30" t="s">
        <v>485</v>
      </c>
      <c r="B26" s="22">
        <v>3</v>
      </c>
      <c r="C26" s="29"/>
      <c r="D26" s="27">
        <f>IFERROR(VLOOKUP(A26,[1]!TablaMateriales[#Data],2,FALSE),0)</f>
        <v>35000</v>
      </c>
      <c r="E26" s="25">
        <f>B26*D26</f>
        <v>105000</v>
      </c>
      <c r="F26" s="281"/>
    </row>
    <row r="27" spans="1:6" x14ac:dyDescent="0.35">
      <c r="A27" s="30"/>
      <c r="B27" s="22"/>
      <c r="C27" s="29"/>
      <c r="D27" s="27">
        <f>IFERROR(VLOOKUP(A27,[1]!TablaMateriales[#Data],2,FALSE),0)</f>
        <v>0</v>
      </c>
      <c r="E27" s="25">
        <f>B27*D27</f>
        <v>0</v>
      </c>
      <c r="F27" s="281"/>
    </row>
    <row r="28" spans="1:6" x14ac:dyDescent="0.35">
      <c r="A28" s="30" t="s">
        <v>488</v>
      </c>
      <c r="B28" s="78">
        <v>5</v>
      </c>
      <c r="C28" s="23"/>
      <c r="D28" s="27">
        <f>IFERROR(VLOOKUP(A28,[1]!TablaMateriales[#Data],2,FALSE),0)</f>
        <v>123700</v>
      </c>
      <c r="E28" s="25">
        <f>B28*D28</f>
        <v>618500</v>
      </c>
      <c r="F28" s="281"/>
    </row>
    <row r="29" spans="1:6" x14ac:dyDescent="0.35">
      <c r="A29" s="30" t="s">
        <v>489</v>
      </c>
      <c r="B29" s="78">
        <v>6</v>
      </c>
      <c r="C29" s="23"/>
      <c r="D29" s="27">
        <f>IFERROR(VLOOKUP(A29,[1]!TablaMateriales[#Data],2,FALSE),0)</f>
        <v>14000</v>
      </c>
      <c r="E29" s="25">
        <f t="shared" ref="E29:E35" si="1">B29*D29</f>
        <v>84000</v>
      </c>
      <c r="F29" s="281"/>
    </row>
    <row r="30" spans="1:6" x14ac:dyDescent="0.35">
      <c r="A30" s="30" t="s">
        <v>471</v>
      </c>
      <c r="B30" s="78">
        <v>10</v>
      </c>
      <c r="C30" s="23"/>
      <c r="D30" s="27">
        <f>IFERROR(VLOOKUP(A30,[1]!TablaMateriales[#Data],2,FALSE),0)</f>
        <v>4300</v>
      </c>
      <c r="E30" s="25">
        <f t="shared" si="1"/>
        <v>43000</v>
      </c>
      <c r="F30" s="281"/>
    </row>
    <row r="31" spans="1:6" x14ac:dyDescent="0.35">
      <c r="A31" s="30" t="s">
        <v>455</v>
      </c>
      <c r="B31" s="78">
        <v>10</v>
      </c>
      <c r="C31" s="23"/>
      <c r="D31" s="27">
        <f>IFERROR(VLOOKUP(A31,[1]!TablaMateriales[#Data],2,FALSE),0)</f>
        <v>38000</v>
      </c>
      <c r="E31" s="25">
        <f t="shared" si="1"/>
        <v>380000</v>
      </c>
      <c r="F31" s="281"/>
    </row>
    <row r="32" spans="1:6" x14ac:dyDescent="0.35">
      <c r="A32" s="79" t="s">
        <v>387</v>
      </c>
      <c r="B32" s="78">
        <v>2</v>
      </c>
      <c r="C32" s="23"/>
      <c r="D32" s="27">
        <f>IFERROR(VLOOKUP(A32,[1]!TablaMateriales[#Data],2,FALSE),0)</f>
        <v>6000</v>
      </c>
      <c r="E32" s="25">
        <f t="shared" si="1"/>
        <v>12000</v>
      </c>
      <c r="F32" s="281"/>
    </row>
    <row r="33" spans="1:6" ht="15.5" x14ac:dyDescent="0.35">
      <c r="A33" s="225" t="s">
        <v>359</v>
      </c>
      <c r="B33" s="78">
        <v>20</v>
      </c>
      <c r="C33" s="23"/>
      <c r="D33" s="27">
        <f>IFERROR(VLOOKUP(A33,[1]!TablaMateriales[#Data],2,FALSE),0)</f>
        <v>9500</v>
      </c>
      <c r="E33" s="25">
        <f t="shared" si="1"/>
        <v>190000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2861732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3</v>
      </c>
      <c r="D43" s="39">
        <f>'tabla salarial'!AS4</f>
        <v>555393.74067333317</v>
      </c>
      <c r="E43" s="37">
        <f>B43*C43*D43</f>
        <v>1666181.2220199995</v>
      </c>
      <c r="F43" s="281"/>
    </row>
    <row r="44" spans="1:6" x14ac:dyDescent="0.35">
      <c r="A44" s="107" t="s">
        <v>273</v>
      </c>
      <c r="B44" s="20">
        <v>1</v>
      </c>
      <c r="C44" s="40">
        <v>3</v>
      </c>
      <c r="D44" s="39">
        <f>'tabla salarial'!AS4</f>
        <v>555393.74067333317</v>
      </c>
      <c r="E44" s="21">
        <f t="shared" ref="E44:E50" si="2">B44*C44*D44</f>
        <v>1666181.2220199995</v>
      </c>
      <c r="F44" s="281"/>
    </row>
    <row r="45" spans="1:6" x14ac:dyDescent="0.35">
      <c r="A45" s="107" t="s">
        <v>277</v>
      </c>
      <c r="B45" s="20"/>
      <c r="C45" s="35"/>
      <c r="D45" s="39">
        <f>'tabla salarial'!AS4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/>
      <c r="C46" s="35"/>
      <c r="D46" s="39">
        <f>'tabla salarial'!AS6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/>
      <c r="C47" s="35"/>
      <c r="D47" s="39">
        <f>'tabla salarial'!AS6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>
        <v>6</v>
      </c>
      <c r="D48" s="39">
        <f>'tabla salarial'!AS7</f>
        <v>371571.3297066667</v>
      </c>
      <c r="E48" s="21">
        <f t="shared" si="2"/>
        <v>2229427.9782400001</v>
      </c>
      <c r="F48" s="281"/>
    </row>
    <row r="49" spans="1:6" x14ac:dyDescent="0.35">
      <c r="A49" s="107" t="s">
        <v>223</v>
      </c>
      <c r="B49" s="20">
        <v>1</v>
      </c>
      <c r="C49" s="35">
        <v>3</v>
      </c>
      <c r="D49" s="39">
        <f>'tabla salarial'!AS8</f>
        <v>355821.87609999999</v>
      </c>
      <c r="E49" s="21">
        <f>B49*C49*D49</f>
        <v>1067465.6283</v>
      </c>
      <c r="F49" s="281"/>
    </row>
    <row r="50" spans="1:6" x14ac:dyDescent="0.35">
      <c r="A50" s="107" t="s">
        <v>275</v>
      </c>
      <c r="B50" s="20">
        <v>2</v>
      </c>
      <c r="C50" s="40">
        <v>6</v>
      </c>
      <c r="D50" s="39">
        <f>'tabla salarial'!AS9</f>
        <v>382109.06042666658</v>
      </c>
      <c r="E50" s="21">
        <f t="shared" si="2"/>
        <v>4585308.7251199987</v>
      </c>
      <c r="F50" s="281"/>
    </row>
    <row r="51" spans="1:6" x14ac:dyDescent="0.35">
      <c r="A51" s="287"/>
      <c r="B51" s="287"/>
      <c r="C51" s="287"/>
      <c r="D51" s="287"/>
      <c r="E51" s="287"/>
      <c r="F51" s="42">
        <f>SUM(E43:E50)</f>
        <v>11214564.775699997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170"/>
    </row>
    <row r="53" spans="1:6" x14ac:dyDescent="0.35">
      <c r="A53" s="108"/>
      <c r="B53" s="108"/>
      <c r="C53" s="108"/>
      <c r="D53" s="108"/>
      <c r="E53" s="110"/>
      <c r="F53" s="171"/>
    </row>
    <row r="54" spans="1:6" x14ac:dyDescent="0.35">
      <c r="A54" s="108" t="s">
        <v>240</v>
      </c>
      <c r="B54" s="214">
        <v>0.5</v>
      </c>
      <c r="C54" s="108">
        <v>1</v>
      </c>
      <c r="D54" s="108">
        <f>IFERROR(VLOOKUP(A54,[1]!TablaTransporte[#Data],2,FALSE),0)</f>
        <v>550000</v>
      </c>
      <c r="E54" s="108">
        <f>B54*C54*D54</f>
        <v>275000</v>
      </c>
      <c r="F54" s="171"/>
    </row>
    <row r="55" spans="1:6" x14ac:dyDescent="0.35">
      <c r="A55" s="108" t="s">
        <v>381</v>
      </c>
      <c r="B55" s="108">
        <v>1</v>
      </c>
      <c r="C55" s="108">
        <v>8</v>
      </c>
      <c r="D55" s="108">
        <f>IFERROR(VLOOKUP(A55,[1]!TablaTransporte[#Data],2,FALSE),0)</f>
        <v>600000</v>
      </c>
      <c r="E55" s="108">
        <f>B55*C55*D55</f>
        <v>4800000</v>
      </c>
      <c r="F55" s="171"/>
    </row>
    <row r="56" spans="1:6" x14ac:dyDescent="0.35">
      <c r="A56" s="108" t="s">
        <v>245</v>
      </c>
      <c r="B56" s="108">
        <v>1</v>
      </c>
      <c r="C56" s="108">
        <v>1</v>
      </c>
      <c r="D56" s="108">
        <f>IFERROR(VLOOKUP(A56,[1]!TablaTransporte[#Data],2,FALSE),0)</f>
        <v>1350000</v>
      </c>
      <c r="E56" s="108">
        <f>B56*C56*D56</f>
        <v>1350000</v>
      </c>
      <c r="F56" s="172"/>
    </row>
    <row r="57" spans="1:6" x14ac:dyDescent="0.35">
      <c r="A57" s="43"/>
      <c r="B57" s="43"/>
      <c r="C57" s="43"/>
      <c r="D57" s="43"/>
      <c r="E57" s="43"/>
      <c r="F57" s="42">
        <f>SUM(E53:E56)</f>
        <v>6425000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20633696.775699995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20633696.775699995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20633696.775699995</v>
      </c>
    </row>
    <row r="63" spans="1:6" x14ac:dyDescent="0.35">
      <c r="F63" s="224">
        <f>F62/F3</f>
        <v>2292632.9750777772</v>
      </c>
    </row>
  </sheetData>
  <mergeCells count="12">
    <mergeCell ref="A60:E60"/>
    <mergeCell ref="A61:E61"/>
    <mergeCell ref="A62:E62"/>
    <mergeCell ref="F42:F50"/>
    <mergeCell ref="A51:E51"/>
    <mergeCell ref="A58:E58"/>
    <mergeCell ref="A59:E59"/>
    <mergeCell ref="A41:E41"/>
    <mergeCell ref="A1:F1"/>
    <mergeCell ref="F4:F21"/>
    <mergeCell ref="A22:E22"/>
    <mergeCell ref="F23:F40"/>
  </mergeCells>
  <dataValidations count="3">
    <dataValidation type="list" allowBlank="1" showInputMessage="1" showErrorMessage="1" sqref="A24:A41" xr:uid="{1BD180D6-5DA9-440E-BBC9-89874C4E0DD4}">
      <formula1>ListaMateriales</formula1>
    </dataValidation>
    <dataValidation type="list" allowBlank="1" showInputMessage="1" showErrorMessage="1" sqref="A3:A22" xr:uid="{9D83F501-0E18-4840-90FA-EFE9C97429FF}">
      <formula1>ListaEquipos</formula1>
    </dataValidation>
    <dataValidation type="list" allowBlank="1" showInputMessage="1" showErrorMessage="1" sqref="A54:A56" xr:uid="{579D5AB6-FDDB-4F85-B42F-3FAB45E2E68F}">
      <formula1>ListaTransporte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C17F-739E-4F8C-A089-170F51DDD8E7}">
  <sheetPr>
    <tabColor rgb="FF00B050"/>
  </sheetPr>
  <dimension ref="A1:F60"/>
  <sheetViews>
    <sheetView topLeftCell="A37" workbookViewId="0">
      <selection activeCell="C52" sqref="C52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192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12</v>
      </c>
    </row>
    <row r="4" spans="1:6" x14ac:dyDescent="0.35">
      <c r="A4" s="24" t="s">
        <v>233</v>
      </c>
      <c r="B4" s="22">
        <v>1</v>
      </c>
      <c r="C4" s="23">
        <v>2.5</v>
      </c>
      <c r="D4" s="24">
        <f>IFERROR(VLOOKUP(A4,[1]!TablaEquipos[#Data],2,FALSE),0)</f>
        <v>500</v>
      </c>
      <c r="E4" s="25">
        <f t="shared" ref="E4:E11" si="0">B4*C4*D4</f>
        <v>1250</v>
      </c>
      <c r="F4" s="62"/>
    </row>
    <row r="5" spans="1:6" x14ac:dyDescent="0.35">
      <c r="A5" s="26" t="s">
        <v>490</v>
      </c>
      <c r="B5" s="22">
        <v>1</v>
      </c>
      <c r="C5" s="23">
        <v>2.5</v>
      </c>
      <c r="D5" s="24">
        <f>IFERROR(VLOOKUP(A5,[1]!TablaEquipos[#Data],2,FALSE),0)</f>
        <v>1000</v>
      </c>
      <c r="E5" s="25">
        <f t="shared" si="0"/>
        <v>2500</v>
      </c>
      <c r="F5" s="62"/>
    </row>
    <row r="6" spans="1:6" x14ac:dyDescent="0.35">
      <c r="A6" s="26" t="s">
        <v>232</v>
      </c>
      <c r="B6" s="22">
        <v>1</v>
      </c>
      <c r="C6" s="23">
        <v>2.5</v>
      </c>
      <c r="D6" s="24">
        <f>IFERROR(VLOOKUP(A6,[1]!TablaEquipos[#Data],2,FALSE),0)</f>
        <v>500</v>
      </c>
      <c r="E6" s="25">
        <f t="shared" si="0"/>
        <v>1250</v>
      </c>
      <c r="F6" s="62"/>
    </row>
    <row r="7" spans="1:6" x14ac:dyDescent="0.35">
      <c r="A7" s="24" t="s">
        <v>228</v>
      </c>
      <c r="B7" s="22">
        <v>1</v>
      </c>
      <c r="C7" s="23">
        <v>2.5</v>
      </c>
      <c r="D7" s="24">
        <f>IFERROR(VLOOKUP(A7,[1]!TablaEquipos[#Data],2,FALSE),0)</f>
        <v>1500</v>
      </c>
      <c r="E7" s="25">
        <f t="shared" si="0"/>
        <v>3750</v>
      </c>
      <c r="F7" s="62"/>
    </row>
    <row r="8" spans="1:6" x14ac:dyDescent="0.35">
      <c r="A8" s="24" t="s">
        <v>229</v>
      </c>
      <c r="B8" s="22">
        <v>6</v>
      </c>
      <c r="C8" s="23">
        <v>2.5</v>
      </c>
      <c r="D8" s="24">
        <f>IFERROR(VLOOKUP(A8,[1]!TablaEquipos[#Data],2,FALSE),0)</f>
        <v>1500</v>
      </c>
      <c r="E8" s="25">
        <f t="shared" si="0"/>
        <v>22500</v>
      </c>
      <c r="F8" s="62"/>
    </row>
    <row r="9" spans="1:6" x14ac:dyDescent="0.35">
      <c r="A9" s="24" t="s">
        <v>225</v>
      </c>
      <c r="B9" s="22">
        <v>1</v>
      </c>
      <c r="C9" s="23">
        <v>2.5</v>
      </c>
      <c r="D9" s="24">
        <f>IFERROR(VLOOKUP(A9,[1]!TablaEquipos[#Data],2,FALSE),0)</f>
        <v>1500</v>
      </c>
      <c r="E9" s="25">
        <f t="shared" si="0"/>
        <v>3750</v>
      </c>
      <c r="F9" s="62"/>
    </row>
    <row r="10" spans="1:6" x14ac:dyDescent="0.35">
      <c r="A10" s="24" t="s">
        <v>242</v>
      </c>
      <c r="B10" s="22">
        <v>10</v>
      </c>
      <c r="C10" s="23">
        <v>2.5</v>
      </c>
      <c r="D10" s="24">
        <f>IFERROR(VLOOKUP(A10,[1]!TablaEquipos[#Data],2,FALSE),0)</f>
        <v>1000</v>
      </c>
      <c r="E10" s="25">
        <f t="shared" si="0"/>
        <v>25000</v>
      </c>
      <c r="F10" s="62"/>
    </row>
    <row r="11" spans="1:6" x14ac:dyDescent="0.35">
      <c r="A11" s="24" t="s">
        <v>239</v>
      </c>
      <c r="B11" s="22">
        <v>8</v>
      </c>
      <c r="C11" s="23">
        <v>2.5</v>
      </c>
      <c r="D11" s="24">
        <f>IFERROR(VLOOKUP(A11,[1]!TablaEquipos[#Data],2,FALSE),0)</f>
        <v>1000</v>
      </c>
      <c r="E11" s="25">
        <f t="shared" si="0"/>
        <v>20000</v>
      </c>
      <c r="F11" s="62"/>
    </row>
    <row r="12" spans="1:6" x14ac:dyDescent="0.35">
      <c r="A12" s="24"/>
      <c r="B12" s="22"/>
      <c r="C12" s="23"/>
      <c r="D12" s="24">
        <f>IFERROR(VLOOKUP(A12,[1]!TablaEquipos[#Data],2,FALSE),0)</f>
        <v>0</v>
      </c>
      <c r="E12" s="25"/>
      <c r="F12" s="62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/>
      <c r="F13" s="62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/>
      <c r="F14" s="62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/>
      <c r="F15" s="62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62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62"/>
    </row>
    <row r="18" spans="1:6" ht="15" thickBot="1" x14ac:dyDescent="0.4">
      <c r="A18" s="294"/>
      <c r="B18" s="295"/>
      <c r="C18" s="295"/>
      <c r="D18" s="295"/>
      <c r="E18" s="295"/>
      <c r="F18" s="84">
        <f>SUM(E4:E17)</f>
        <v>80000</v>
      </c>
    </row>
    <row r="19" spans="1:6" x14ac:dyDescent="0.35">
      <c r="A19" s="33" t="s">
        <v>270</v>
      </c>
      <c r="B19" s="34" t="s">
        <v>83</v>
      </c>
      <c r="C19" s="45" t="s">
        <v>84</v>
      </c>
      <c r="D19" s="46" t="s">
        <v>269</v>
      </c>
      <c r="E19" s="37" t="s">
        <v>86</v>
      </c>
      <c r="F19" s="280"/>
    </row>
    <row r="20" spans="1:6" x14ac:dyDescent="0.35">
      <c r="A20" s="24" t="s">
        <v>261</v>
      </c>
      <c r="B20" s="22">
        <v>1</v>
      </c>
      <c r="C20" s="29"/>
      <c r="D20" s="27">
        <f>IFERROR(VLOOKUP(A20,[1]!TablaMateriales[#Data],2,FALSE),0)</f>
        <v>55000</v>
      </c>
      <c r="E20" s="25">
        <f>B20*D20</f>
        <v>55000</v>
      </c>
      <c r="F20" s="281"/>
    </row>
    <row r="21" spans="1:6" x14ac:dyDescent="0.35">
      <c r="A21" s="30" t="s">
        <v>397</v>
      </c>
      <c r="B21" s="22">
        <v>30</v>
      </c>
      <c r="C21" s="29"/>
      <c r="D21" s="27">
        <f>IFERROR(VLOOKUP(A21,[1]!TablaMateriales[#Data],2,FALSE),0)</f>
        <v>1200</v>
      </c>
      <c r="E21" s="25">
        <f>B21*D21</f>
        <v>36000</v>
      </c>
      <c r="F21" s="281"/>
    </row>
    <row r="22" spans="1:6" x14ac:dyDescent="0.35">
      <c r="A22" s="30"/>
      <c r="B22" s="22"/>
      <c r="C22" s="29"/>
      <c r="D22" s="27">
        <f>IFERROR(VLOOKUP(A22,[1]!TablaMateriales[#Data],2,FALSE),0)</f>
        <v>0</v>
      </c>
      <c r="E22" s="25">
        <f>B22*D22</f>
        <v>0</v>
      </c>
      <c r="F22" s="281"/>
    </row>
    <row r="23" spans="1:6" x14ac:dyDescent="0.35">
      <c r="A23" s="30"/>
      <c r="B23" s="22"/>
      <c r="C23" s="29"/>
      <c r="D23" s="27">
        <f>IFERROR(VLOOKUP(A23,[1]!TablaMateriales[#Data],2,FALSE),0)</f>
        <v>0</v>
      </c>
      <c r="E23" s="25">
        <f>B23*D23</f>
        <v>0</v>
      </c>
      <c r="F23" s="281"/>
    </row>
    <row r="24" spans="1:6" x14ac:dyDescent="0.35">
      <c r="A24" s="30"/>
      <c r="B24" s="78"/>
      <c r="C24" s="23"/>
      <c r="D24" s="27">
        <f>IFERROR(VLOOKUP(A24,[1]!TablaMateriales[#Data],2,FALSE),0)</f>
        <v>0</v>
      </c>
      <c r="E24" s="25">
        <f>B24*D24</f>
        <v>0</v>
      </c>
      <c r="F24" s="281"/>
    </row>
    <row r="25" spans="1:6" x14ac:dyDescent="0.35">
      <c r="A25" s="30"/>
      <c r="B25" s="78"/>
      <c r="C25" s="23"/>
      <c r="D25" s="27">
        <f>IFERROR(VLOOKUP(A25,[1]!TablaMateriales[#Data],2,FALSE),0)</f>
        <v>0</v>
      </c>
      <c r="E25" s="25">
        <f t="shared" ref="E25:E31" si="1">B25*D25</f>
        <v>0</v>
      </c>
      <c r="F25" s="281"/>
    </row>
    <row r="26" spans="1:6" x14ac:dyDescent="0.35">
      <c r="A26" s="30"/>
      <c r="B26" s="78"/>
      <c r="C26" s="23"/>
      <c r="D26" s="27">
        <f>IFERROR(VLOOKUP(A26,[1]!TablaMateriales[#Data],2,FALSE),0)</f>
        <v>0</v>
      </c>
      <c r="E26" s="25">
        <f t="shared" si="1"/>
        <v>0</v>
      </c>
      <c r="F26" s="281"/>
    </row>
    <row r="27" spans="1:6" x14ac:dyDescent="0.35">
      <c r="A27" s="30"/>
      <c r="B27" s="78"/>
      <c r="C27" s="23"/>
      <c r="D27" s="27">
        <f>IFERROR(VLOOKUP(A27,[1]!TablaMateriales[#Data],2,FALSE),0)</f>
        <v>0</v>
      </c>
      <c r="E27" s="25">
        <f t="shared" si="1"/>
        <v>0</v>
      </c>
      <c r="F27" s="281"/>
    </row>
    <row r="28" spans="1:6" x14ac:dyDescent="0.35">
      <c r="A28" s="79"/>
      <c r="B28" s="78"/>
      <c r="C28" s="23"/>
      <c r="D28" s="27">
        <f>IFERROR(VLOOKUP(A28,[1]!TablaMateriales[#Data],2,FALSE),0)</f>
        <v>0</v>
      </c>
      <c r="E28" s="25">
        <f t="shared" si="1"/>
        <v>0</v>
      </c>
      <c r="F28" s="281"/>
    </row>
    <row r="29" spans="1:6" x14ac:dyDescent="0.35">
      <c r="A29" s="30"/>
      <c r="B29" s="78"/>
      <c r="C29" s="23"/>
      <c r="D29" s="27">
        <f>IFERROR(VLOOKUP(A29,[1]!TablaMateriales[#Data],2,FALSE),0)</f>
        <v>0</v>
      </c>
      <c r="E29" s="25">
        <f t="shared" si="1"/>
        <v>0</v>
      </c>
      <c r="F29" s="281"/>
    </row>
    <row r="30" spans="1:6" x14ac:dyDescent="0.35">
      <c r="A30" s="31"/>
      <c r="B30" s="78"/>
      <c r="C30" s="23"/>
      <c r="D30" s="27">
        <f>IFERROR(VLOOKUP(A30,[1]!TablaMateriales[#Data],2,FALSE),0)</f>
        <v>0</v>
      </c>
      <c r="E30" s="25">
        <f t="shared" si="1"/>
        <v>0</v>
      </c>
      <c r="F30" s="281"/>
    </row>
    <row r="31" spans="1:6" x14ac:dyDescent="0.35">
      <c r="A31" s="31"/>
      <c r="B31" s="78"/>
      <c r="C31" s="23"/>
      <c r="D31" s="27">
        <f>IFERROR(VLOOKUP(A31,[1]!TablaMateriales[#Data],2,FALSE),0)</f>
        <v>0</v>
      </c>
      <c r="E31" s="27">
        <f t="shared" si="1"/>
        <v>0</v>
      </c>
      <c r="F31" s="282"/>
    </row>
    <row r="32" spans="1:6" x14ac:dyDescent="0.35">
      <c r="A32" s="31"/>
      <c r="B32" s="78"/>
      <c r="C32" s="23"/>
      <c r="D32" s="27">
        <f>IFERROR(VLOOKUP(A32,[1]!TablaMateriales[#Data],2,FALSE),0)</f>
        <v>0</v>
      </c>
      <c r="E32" s="27"/>
      <c r="F32" s="282"/>
    </row>
    <row r="33" spans="1:6" x14ac:dyDescent="0.35">
      <c r="A33" s="31"/>
      <c r="B33" s="78"/>
      <c r="C33" s="23"/>
      <c r="D33" s="27">
        <f>IFERROR(VLOOKUP(A33,[1]!TablaMateriales[#Data],2,FALSE),0)</f>
        <v>0</v>
      </c>
      <c r="E33" s="27"/>
      <c r="F33" s="282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7"/>
      <c r="F34" s="282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/>
      <c r="F35" s="282"/>
    </row>
    <row r="36" spans="1:6" ht="15" thickBot="1" x14ac:dyDescent="0.4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ht="15" thickBot="1" x14ac:dyDescent="0.4">
      <c r="A37" s="296"/>
      <c r="B37" s="297"/>
      <c r="C37" s="297"/>
      <c r="D37" s="297"/>
      <c r="E37" s="298"/>
      <c r="F37" s="28">
        <f>SUM(E20:E36)</f>
        <v>91000</v>
      </c>
    </row>
    <row r="38" spans="1:6" x14ac:dyDescent="0.35">
      <c r="A38" s="33" t="s">
        <v>88</v>
      </c>
      <c r="B38" s="34" t="s">
        <v>83</v>
      </c>
      <c r="C38" s="35" t="s">
        <v>84</v>
      </c>
      <c r="D38" s="36" t="s">
        <v>89</v>
      </c>
      <c r="E38" s="37" t="s">
        <v>86</v>
      </c>
      <c r="F38" s="280"/>
    </row>
    <row r="39" spans="1:6" x14ac:dyDescent="0.35">
      <c r="A39" s="38" t="s">
        <v>272</v>
      </c>
      <c r="B39" s="34">
        <v>1</v>
      </c>
      <c r="C39" s="35">
        <v>1.5</v>
      </c>
      <c r="D39" s="39">
        <f>'tabla salarial'!AS4</f>
        <v>555393.74067333317</v>
      </c>
      <c r="E39" s="37">
        <f>B39*C39*D39</f>
        <v>833090.61100999976</v>
      </c>
      <c r="F39" s="281"/>
    </row>
    <row r="40" spans="1:6" x14ac:dyDescent="0.35">
      <c r="A40" s="107" t="s">
        <v>273</v>
      </c>
      <c r="B40" s="20">
        <v>1</v>
      </c>
      <c r="C40" s="40">
        <v>2.8</v>
      </c>
      <c r="D40" s="39">
        <f>'tabla salarial'!AS4</f>
        <v>555393.74067333317</v>
      </c>
      <c r="E40" s="21">
        <f t="shared" ref="E40:E46" si="2">B40*C40*D40</f>
        <v>1555102.4738853327</v>
      </c>
      <c r="F40" s="281"/>
    </row>
    <row r="41" spans="1:6" x14ac:dyDescent="0.35">
      <c r="A41" s="107" t="s">
        <v>277</v>
      </c>
      <c r="B41" s="20"/>
      <c r="C41" s="35"/>
      <c r="D41" s="39">
        <f>'tabla salarial'!AS4</f>
        <v>555393.74067333317</v>
      </c>
      <c r="E41" s="21">
        <f>B41*C41*D41</f>
        <v>0</v>
      </c>
      <c r="F41" s="281"/>
    </row>
    <row r="42" spans="1:6" x14ac:dyDescent="0.35">
      <c r="A42" s="107" t="s">
        <v>278</v>
      </c>
      <c r="B42" s="20"/>
      <c r="C42" s="35"/>
      <c r="D42" s="39">
        <f>'tabla salarial'!AS6</f>
        <v>407197.80492666672</v>
      </c>
      <c r="E42" s="21">
        <f>B42*C42*D42</f>
        <v>0</v>
      </c>
      <c r="F42" s="281"/>
    </row>
    <row r="43" spans="1:6" x14ac:dyDescent="0.35">
      <c r="A43" s="107" t="s">
        <v>276</v>
      </c>
      <c r="B43" s="20"/>
      <c r="C43" s="35"/>
      <c r="D43" s="39">
        <f>'tabla salarial'!AS6</f>
        <v>407197.80492666672</v>
      </c>
      <c r="E43" s="21">
        <f>B43*C43*D43</f>
        <v>0</v>
      </c>
      <c r="F43" s="281"/>
    </row>
    <row r="44" spans="1:6" x14ac:dyDescent="0.35">
      <c r="A44" s="107" t="s">
        <v>274</v>
      </c>
      <c r="B44" s="20">
        <v>1</v>
      </c>
      <c r="C44" s="35">
        <v>2.8</v>
      </c>
      <c r="D44" s="39">
        <f>'tabla salarial'!AS7</f>
        <v>371571.3297066667</v>
      </c>
      <c r="E44" s="21">
        <f t="shared" si="2"/>
        <v>1040399.7231786667</v>
      </c>
      <c r="F44" s="281"/>
    </row>
    <row r="45" spans="1:6" x14ac:dyDescent="0.35">
      <c r="A45" s="107" t="s">
        <v>223</v>
      </c>
      <c r="B45" s="20">
        <v>1</v>
      </c>
      <c r="C45" s="35">
        <v>1.5</v>
      </c>
      <c r="D45" s="39">
        <f>'tabla salarial'!AS8</f>
        <v>355821.87609999999</v>
      </c>
      <c r="E45" s="21">
        <f>B45*C45*D45</f>
        <v>533732.81414999999</v>
      </c>
      <c r="F45" s="281"/>
    </row>
    <row r="46" spans="1:6" x14ac:dyDescent="0.35">
      <c r="A46" s="107" t="s">
        <v>275</v>
      </c>
      <c r="B46" s="20">
        <v>2</v>
      </c>
      <c r="C46" s="35">
        <v>2.8</v>
      </c>
      <c r="D46" s="39">
        <f>'tabla salarial'!AS9</f>
        <v>382109.06042666658</v>
      </c>
      <c r="E46" s="21">
        <f t="shared" si="2"/>
        <v>2139810.7383893328</v>
      </c>
      <c r="F46" s="281"/>
    </row>
    <row r="47" spans="1:6" x14ac:dyDescent="0.35">
      <c r="A47" s="287"/>
      <c r="B47" s="287"/>
      <c r="C47" s="287"/>
      <c r="D47" s="287"/>
      <c r="E47" s="287"/>
      <c r="F47" s="42">
        <f>SUM(E39:E46)</f>
        <v>6102136.3606133312</v>
      </c>
    </row>
    <row r="48" spans="1:6" x14ac:dyDescent="0.35">
      <c r="A48" s="33" t="s">
        <v>279</v>
      </c>
      <c r="B48" s="34" t="s">
        <v>83</v>
      </c>
      <c r="C48" s="35" t="s">
        <v>84</v>
      </c>
      <c r="D48" s="36" t="s">
        <v>269</v>
      </c>
      <c r="E48" s="37" t="s">
        <v>86</v>
      </c>
      <c r="F48" s="283"/>
    </row>
    <row r="49" spans="1:6" x14ac:dyDescent="0.35">
      <c r="A49" s="108"/>
      <c r="B49" s="108"/>
      <c r="C49" s="108"/>
      <c r="D49" s="108"/>
      <c r="E49" s="110"/>
      <c r="F49" s="284"/>
    </row>
    <row r="50" spans="1:6" x14ac:dyDescent="0.35">
      <c r="A50" s="108" t="s">
        <v>392</v>
      </c>
      <c r="B50" s="108">
        <v>1</v>
      </c>
      <c r="C50" s="108"/>
      <c r="D50" s="108">
        <f>IFERROR(VLOOKUP(A50,[1]!TablaTransporte[#Data],2,FALSE),0)</f>
        <v>840000</v>
      </c>
      <c r="E50" s="108">
        <f>B50*C50*D50</f>
        <v>0</v>
      </c>
      <c r="F50" s="284"/>
    </row>
    <row r="51" spans="1:6" x14ac:dyDescent="0.35">
      <c r="A51" s="108" t="s">
        <v>245</v>
      </c>
      <c r="B51" s="108">
        <v>1</v>
      </c>
      <c r="C51" s="214">
        <v>0.5</v>
      </c>
      <c r="D51" s="108">
        <f>IFERROR(VLOOKUP(A51,[1]!TablaTransporte[#Data],2,FALSE),0)</f>
        <v>1350000</v>
      </c>
      <c r="E51" s="108">
        <f>B51*C51*D51</f>
        <v>675000</v>
      </c>
      <c r="F51" s="284"/>
    </row>
    <row r="52" spans="1:6" x14ac:dyDescent="0.35">
      <c r="A52" s="108" t="s">
        <v>240</v>
      </c>
      <c r="B52" s="108">
        <v>1</v>
      </c>
      <c r="C52" s="108"/>
      <c r="D52" s="108">
        <f>IFERROR(VLOOKUP(A52,[1]!TablaTransporte[#Data],2,FALSE),0)</f>
        <v>550000</v>
      </c>
      <c r="E52" s="108">
        <f>B52*C52*D52</f>
        <v>0</v>
      </c>
      <c r="F52" s="284"/>
    </row>
    <row r="53" spans="1:6" x14ac:dyDescent="0.35">
      <c r="A53" s="108" t="s">
        <v>381</v>
      </c>
      <c r="B53" s="108">
        <v>1</v>
      </c>
      <c r="C53" s="108">
        <v>3</v>
      </c>
      <c r="D53" s="108">
        <f>IFERROR(VLOOKUP(A53,[1]!TablaTransporte[#Data],2,FALSE),0)</f>
        <v>600000</v>
      </c>
      <c r="E53" s="108">
        <f>B53*C53*D53</f>
        <v>1800000</v>
      </c>
      <c r="F53" s="285"/>
    </row>
    <row r="54" spans="1:6" x14ac:dyDescent="0.35">
      <c r="A54" s="43"/>
      <c r="B54" s="43"/>
      <c r="C54" s="43"/>
      <c r="D54" s="43"/>
      <c r="E54" s="43"/>
      <c r="F54" s="42">
        <f>SUM(E50:E53)</f>
        <v>2475000</v>
      </c>
    </row>
    <row r="55" spans="1:6" x14ac:dyDescent="0.35">
      <c r="A55" s="288"/>
      <c r="B55" s="289"/>
      <c r="C55" s="289"/>
      <c r="D55" s="289"/>
      <c r="E55" s="290"/>
      <c r="F55" s="42">
        <f>F18+F37+F47+F54</f>
        <v>8748136.3606133312</v>
      </c>
    </row>
    <row r="56" spans="1:6" ht="15" thickBot="1" x14ac:dyDescent="0.4">
      <c r="A56" s="291"/>
      <c r="B56" s="292"/>
      <c r="C56" s="292"/>
      <c r="D56" s="292"/>
      <c r="E56" s="293"/>
      <c r="F56" s="44">
        <f>F55*A56</f>
        <v>0</v>
      </c>
    </row>
    <row r="57" spans="1:6" ht="15" thickBot="1" x14ac:dyDescent="0.4">
      <c r="A57" s="299"/>
      <c r="B57" s="300"/>
      <c r="C57" s="300"/>
      <c r="D57" s="300"/>
      <c r="E57" s="301"/>
      <c r="F57" s="28">
        <f>F55+F56</f>
        <v>8748136.3606133312</v>
      </c>
    </row>
    <row r="58" spans="1:6" ht="15" thickBot="1" x14ac:dyDescent="0.4">
      <c r="A58" s="302"/>
      <c r="B58" s="300"/>
      <c r="C58" s="300"/>
      <c r="D58" s="300"/>
      <c r="E58" s="301"/>
      <c r="F58" s="28">
        <f>F57*A58</f>
        <v>0</v>
      </c>
    </row>
    <row r="59" spans="1:6" ht="15" thickBot="1" x14ac:dyDescent="0.4">
      <c r="A59" s="286"/>
      <c r="B59" s="286"/>
      <c r="C59" s="286"/>
      <c r="D59" s="286"/>
      <c r="E59" s="286"/>
      <c r="F59" s="28">
        <f>F57+F58</f>
        <v>8748136.3606133312</v>
      </c>
    </row>
    <row r="60" spans="1:6" x14ac:dyDescent="0.35">
      <c r="F60" s="224">
        <f>F59/F3</f>
        <v>729011.36338444427</v>
      </c>
    </row>
  </sheetData>
  <mergeCells count="12">
    <mergeCell ref="A57:E57"/>
    <mergeCell ref="A58:E58"/>
    <mergeCell ref="A59:E59"/>
    <mergeCell ref="F38:F46"/>
    <mergeCell ref="A47:E47"/>
    <mergeCell ref="A55:E55"/>
    <mergeCell ref="A56:E56"/>
    <mergeCell ref="A37:E37"/>
    <mergeCell ref="A1:F1"/>
    <mergeCell ref="A18:E18"/>
    <mergeCell ref="F19:F36"/>
    <mergeCell ref="F48:F53"/>
  </mergeCells>
  <dataValidations count="3">
    <dataValidation type="list" allowBlank="1" showInputMessage="1" showErrorMessage="1" sqref="A20:A37" xr:uid="{266CC14A-F2BA-4BBD-BCB9-CCDDBEFC6B2A}">
      <formula1>ListaMateriales</formula1>
    </dataValidation>
    <dataValidation type="list" allowBlank="1" showInputMessage="1" showErrorMessage="1" sqref="A50:A53" xr:uid="{3C24E512-BFEA-459A-93AF-0D8146C42ADD}">
      <formula1>ListaTransporte</formula1>
    </dataValidation>
    <dataValidation type="list" allowBlank="1" showInputMessage="1" showErrorMessage="1" sqref="A3:A18" xr:uid="{A6F005B8-82EF-499F-BD89-71025105EDD1}">
      <formula1>ListaEquipos</formula1>
    </dataValidation>
  </dataValidation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06DB-9AFB-4A2B-A29B-2D3193AE6E12}">
  <sheetPr>
    <tabColor rgb="FF00B050"/>
  </sheetPr>
  <dimension ref="A1:F62"/>
  <sheetViews>
    <sheetView topLeftCell="A25" workbookViewId="0">
      <selection activeCell="B36" sqref="B36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215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163</v>
      </c>
    </row>
    <row r="3" spans="1:6" x14ac:dyDescent="0.35">
      <c r="A3" s="33"/>
      <c r="B3" s="34"/>
      <c r="C3" s="45"/>
      <c r="D3" s="46"/>
      <c r="E3" s="37"/>
      <c r="F3" s="77">
        <v>6</v>
      </c>
    </row>
    <row r="4" spans="1:6" x14ac:dyDescent="0.35">
      <c r="A4" s="24" t="s">
        <v>225</v>
      </c>
      <c r="B4" s="22">
        <v>2</v>
      </c>
      <c r="C4" s="23">
        <v>2</v>
      </c>
      <c r="D4" s="24">
        <f>IFERROR(VLOOKUP(A4,[1]!TablaEquipos[#Data],2,FALSE),0)</f>
        <v>1500</v>
      </c>
      <c r="E4" s="25">
        <f t="shared" ref="E4:E12" si="0">B4*C4*D4</f>
        <v>6000</v>
      </c>
      <c r="F4" s="310"/>
    </row>
    <row r="5" spans="1:6" x14ac:dyDescent="0.35">
      <c r="A5" s="26" t="s">
        <v>226</v>
      </c>
      <c r="B5" s="22">
        <v>1</v>
      </c>
      <c r="C5" s="23"/>
      <c r="D5" s="24">
        <f>IFERROR(VLOOKUP(A5,[1]!TablaEquipos[#Data],2,FALSE),0)</f>
        <v>700</v>
      </c>
      <c r="E5" s="25">
        <f t="shared" si="0"/>
        <v>0</v>
      </c>
      <c r="F5" s="310"/>
    </row>
    <row r="6" spans="1:6" x14ac:dyDescent="0.35">
      <c r="A6" s="26" t="s">
        <v>227</v>
      </c>
      <c r="B6" s="22">
        <v>4</v>
      </c>
      <c r="C6" s="23">
        <v>2</v>
      </c>
      <c r="D6" s="24">
        <f>IFERROR(VLOOKUP(A6,[1]!TablaEquipos[#Data],2,FALSE),0)</f>
        <v>700</v>
      </c>
      <c r="E6" s="25">
        <f t="shared" si="0"/>
        <v>5600</v>
      </c>
      <c r="F6" s="310"/>
    </row>
    <row r="7" spans="1:6" ht="15.5" x14ac:dyDescent="0.35">
      <c r="A7" s="226" t="s">
        <v>252</v>
      </c>
      <c r="B7" s="22">
        <v>2</v>
      </c>
      <c r="C7" s="23">
        <v>2</v>
      </c>
      <c r="D7" s="24">
        <f>IFERROR(VLOOKUP(A7,[1]!TablaEquipos[#Data],2,FALSE),0)</f>
        <v>700</v>
      </c>
      <c r="E7" s="25">
        <f>B7*C7*D7</f>
        <v>2800</v>
      </c>
      <c r="F7" s="310"/>
    </row>
    <row r="8" spans="1:6" ht="15.5" x14ac:dyDescent="0.35">
      <c r="A8" s="226" t="s">
        <v>447</v>
      </c>
      <c r="B8" s="22">
        <v>2</v>
      </c>
      <c r="C8" s="23">
        <v>2</v>
      </c>
      <c r="D8" s="24">
        <f>IFERROR(VLOOKUP(A8,[1]!TablaEquipos[#Data],2,FALSE),0)</f>
        <v>700</v>
      </c>
      <c r="E8" s="25">
        <f>B8*C8*D8</f>
        <v>2800</v>
      </c>
      <c r="F8" s="310"/>
    </row>
    <row r="9" spans="1:6" x14ac:dyDescent="0.35">
      <c r="A9" s="24" t="s">
        <v>228</v>
      </c>
      <c r="B9" s="22">
        <v>4</v>
      </c>
      <c r="C9" s="23">
        <v>2</v>
      </c>
      <c r="D9" s="24">
        <f>IFERROR(VLOOKUP(A9,[1]!TablaEquipos[#Data],2,FALSE),0)</f>
        <v>1500</v>
      </c>
      <c r="E9" s="25">
        <f t="shared" si="0"/>
        <v>12000</v>
      </c>
      <c r="F9" s="310"/>
    </row>
    <row r="10" spans="1:6" ht="15.5" x14ac:dyDescent="0.35">
      <c r="A10" s="226" t="s">
        <v>251</v>
      </c>
      <c r="B10" s="22">
        <v>2</v>
      </c>
      <c r="C10" s="23">
        <v>2</v>
      </c>
      <c r="D10" s="24">
        <f>IFERROR(VLOOKUP(A10,[1]!TablaEquipos[#Data],2,FALSE),0)</f>
        <v>700</v>
      </c>
      <c r="E10" s="25">
        <f t="shared" si="0"/>
        <v>2800</v>
      </c>
      <c r="F10" s="310"/>
    </row>
    <row r="11" spans="1:6" ht="15.5" x14ac:dyDescent="0.35">
      <c r="A11" s="226" t="s">
        <v>229</v>
      </c>
      <c r="B11" s="22">
        <v>3</v>
      </c>
      <c r="C11" s="23">
        <v>2</v>
      </c>
      <c r="D11" s="24">
        <f>IFERROR(VLOOKUP(A11,[1]!TablaEquipos[#Data],2,FALSE),0)</f>
        <v>1500</v>
      </c>
      <c r="E11" s="25">
        <f t="shared" si="0"/>
        <v>9000</v>
      </c>
      <c r="F11" s="310"/>
    </row>
    <row r="12" spans="1:6" ht="15.5" x14ac:dyDescent="0.35">
      <c r="A12" s="225" t="s">
        <v>448</v>
      </c>
      <c r="B12" s="22">
        <v>3</v>
      </c>
      <c r="C12" s="23">
        <v>2</v>
      </c>
      <c r="D12" s="24">
        <f>IFERROR(VLOOKUP(A12,[1]!TablaEquipos[#Data],2,FALSE),0)</f>
        <v>700</v>
      </c>
      <c r="E12" s="25">
        <f t="shared" si="0"/>
        <v>4200</v>
      </c>
      <c r="F12" s="310"/>
    </row>
    <row r="13" spans="1:6" ht="15.5" x14ac:dyDescent="0.35">
      <c r="A13" s="227" t="s">
        <v>492</v>
      </c>
      <c r="B13" s="22">
        <v>3</v>
      </c>
      <c r="C13" s="23">
        <v>2</v>
      </c>
      <c r="D13" s="24">
        <f>IFERROR(VLOOKUP(A13,[1]!TablaEquipos[#Data],2,FALSE),0)</f>
        <v>1000</v>
      </c>
      <c r="E13" s="25">
        <f>B13*C13*D13</f>
        <v>6000</v>
      </c>
      <c r="F13" s="310"/>
    </row>
    <row r="14" spans="1:6" ht="15.5" x14ac:dyDescent="0.35">
      <c r="A14" s="225" t="s">
        <v>432</v>
      </c>
      <c r="B14" s="22">
        <v>2</v>
      </c>
      <c r="C14" s="23">
        <v>2</v>
      </c>
      <c r="D14" s="24">
        <f>IFERROR(VLOOKUP(A14,[1]!TablaEquipos[#Data],2,FALSE),0)</f>
        <v>500</v>
      </c>
      <c r="E14" s="25">
        <f>B14*C14*D14</f>
        <v>2000</v>
      </c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/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ht="15" thickBot="1" x14ac:dyDescent="0.4">
      <c r="A21" s="294"/>
      <c r="B21" s="295"/>
      <c r="C21" s="295"/>
      <c r="D21" s="295"/>
      <c r="E21" s="295"/>
      <c r="F21" s="84">
        <f>SUM(E4:E20)</f>
        <v>53200</v>
      </c>
    </row>
    <row r="22" spans="1:6" x14ac:dyDescent="0.35">
      <c r="A22" s="33" t="s">
        <v>270</v>
      </c>
      <c r="B22" s="34" t="s">
        <v>83</v>
      </c>
      <c r="C22" s="45" t="s">
        <v>84</v>
      </c>
      <c r="D22" s="46" t="s">
        <v>269</v>
      </c>
      <c r="E22" s="37" t="s">
        <v>86</v>
      </c>
      <c r="F22" s="280"/>
    </row>
    <row r="23" spans="1:6" x14ac:dyDescent="0.35">
      <c r="A23" s="24"/>
      <c r="B23" s="22"/>
      <c r="C23" s="29"/>
      <c r="D23" s="27">
        <f>IFERROR(VLOOKUP(A23,[1]!TablaMateriales[#Data],2,FALSE),0)</f>
        <v>0</v>
      </c>
      <c r="E23" s="25">
        <f>B23*D23</f>
        <v>0</v>
      </c>
      <c r="F23" s="281"/>
    </row>
    <row r="24" spans="1:6" x14ac:dyDescent="0.35">
      <c r="A24" s="30" t="s">
        <v>254</v>
      </c>
      <c r="B24" s="22">
        <v>40</v>
      </c>
      <c r="C24" s="29"/>
      <c r="D24" s="27">
        <f>IFERROR(VLOOKUP(A24,[1]!TablaMateriales[#Data],2,FALSE),0)</f>
        <v>20000</v>
      </c>
      <c r="E24" s="25">
        <f>B24*D24</f>
        <v>800000</v>
      </c>
      <c r="F24" s="281"/>
    </row>
    <row r="25" spans="1:6" x14ac:dyDescent="0.35">
      <c r="A25" s="30" t="s">
        <v>255</v>
      </c>
      <c r="B25" s="22"/>
      <c r="C25" s="29"/>
      <c r="D25" s="27">
        <f>IFERROR(VLOOKUP(A25,[1]!TablaMateriales[#Data],2,FALSE),0)</f>
        <v>50000</v>
      </c>
      <c r="E25" s="25">
        <f>B25*D25</f>
        <v>0</v>
      </c>
      <c r="F25" s="281"/>
    </row>
    <row r="26" spans="1:6" x14ac:dyDescent="0.35">
      <c r="A26" s="30" t="s">
        <v>256</v>
      </c>
      <c r="B26" s="22"/>
      <c r="C26" s="29"/>
      <c r="D26" s="27">
        <f>IFERROR(VLOOKUP(A26,[1]!TablaMateriales[#Data],2,FALSE),0)</f>
        <v>0</v>
      </c>
      <c r="E26" s="25">
        <f>B26*D26</f>
        <v>0</v>
      </c>
      <c r="F26" s="281"/>
    </row>
    <row r="27" spans="1:6" x14ac:dyDescent="0.35">
      <c r="A27" s="30" t="s">
        <v>257</v>
      </c>
      <c r="B27" s="78"/>
      <c r="C27" s="23"/>
      <c r="D27" s="27">
        <f>IFERROR(VLOOKUP(A27,[1]!TablaMateriales[#Data],2,FALSE),0)</f>
        <v>9500</v>
      </c>
      <c r="E27" s="25">
        <f>B27*D27</f>
        <v>0</v>
      </c>
      <c r="F27" s="281"/>
    </row>
    <row r="28" spans="1:6" x14ac:dyDescent="0.35">
      <c r="A28" s="30" t="s">
        <v>258</v>
      </c>
      <c r="B28" s="78"/>
      <c r="C28" s="23"/>
      <c r="D28" s="27">
        <f>IFERROR(VLOOKUP(A28,[1]!TablaMateriales[#Data],2,FALSE),0)</f>
        <v>9500</v>
      </c>
      <c r="E28" s="25">
        <f t="shared" ref="E28:E34" si="1">B28*D28</f>
        <v>0</v>
      </c>
      <c r="F28" s="281"/>
    </row>
    <row r="29" spans="1:6" x14ac:dyDescent="0.35">
      <c r="A29" s="30" t="s">
        <v>259</v>
      </c>
      <c r="B29" s="78"/>
      <c r="C29" s="23"/>
      <c r="D29" s="27">
        <f>IFERROR(VLOOKUP(A29,[1]!TablaMateriales[#Data],2,FALSE),0)</f>
        <v>15000</v>
      </c>
      <c r="E29" s="25">
        <f t="shared" si="1"/>
        <v>0</v>
      </c>
      <c r="F29" s="281"/>
    </row>
    <row r="30" spans="1:6" x14ac:dyDescent="0.35">
      <c r="A30" s="30" t="s">
        <v>260</v>
      </c>
      <c r="B30" s="78"/>
      <c r="C30" s="23"/>
      <c r="D30" s="27">
        <f>IFERROR(VLOOKUP(A30,[1]!TablaMateriales[#Data],2,FALSE),0)</f>
        <v>20000</v>
      </c>
      <c r="E30" s="25">
        <f t="shared" si="1"/>
        <v>0</v>
      </c>
      <c r="F30" s="281"/>
    </row>
    <row r="31" spans="1:6" ht="23" x14ac:dyDescent="0.35">
      <c r="A31" s="79" t="s">
        <v>261</v>
      </c>
      <c r="B31" s="212">
        <v>0.5</v>
      </c>
      <c r="C31" s="23"/>
      <c r="D31" s="27">
        <f>IFERROR(VLOOKUP(A31,[1]!TablaMateriales[#Data],2,FALSE),0)</f>
        <v>55000</v>
      </c>
      <c r="E31" s="25">
        <f t="shared" si="1"/>
        <v>27500</v>
      </c>
      <c r="F31" s="281"/>
    </row>
    <row r="32" spans="1:6" x14ac:dyDescent="0.35">
      <c r="A32" s="30" t="s">
        <v>262</v>
      </c>
      <c r="B32" s="78"/>
      <c r="C32" s="23"/>
      <c r="D32" s="27">
        <f>IFERROR(VLOOKUP(A32,[1]!TablaMateriales[#Data],2,FALSE),0)</f>
        <v>15900</v>
      </c>
      <c r="E32" s="25">
        <f t="shared" si="1"/>
        <v>0</v>
      </c>
      <c r="F32" s="281"/>
    </row>
    <row r="33" spans="1:6" x14ac:dyDescent="0.35">
      <c r="A33" s="31" t="s">
        <v>387</v>
      </c>
      <c r="B33" s="78">
        <v>1</v>
      </c>
      <c r="C33" s="23"/>
      <c r="D33" s="27">
        <f>IFERROR(VLOOKUP(A33,[1]!TablaMateriales[#Data],2,FALSE),0)</f>
        <v>6000</v>
      </c>
      <c r="E33" s="25">
        <f t="shared" si="1"/>
        <v>6000</v>
      </c>
      <c r="F33" s="281"/>
    </row>
    <row r="34" spans="1:6" x14ac:dyDescent="0.35">
      <c r="A34" s="31" t="s">
        <v>485</v>
      </c>
      <c r="B34" s="78">
        <v>3</v>
      </c>
      <c r="C34" s="23"/>
      <c r="D34" s="27">
        <f>IFERROR(VLOOKUP(A34,[1]!TablaMateriales[#Data],2,FALSE),0)</f>
        <v>35000</v>
      </c>
      <c r="E34" s="27">
        <f t="shared" si="1"/>
        <v>105000</v>
      </c>
      <c r="F34" s="282"/>
    </row>
    <row r="35" spans="1:6" ht="15.5" x14ac:dyDescent="0.35">
      <c r="A35" s="225" t="s">
        <v>397</v>
      </c>
      <c r="B35" s="78">
        <v>270</v>
      </c>
      <c r="C35" s="23"/>
      <c r="D35" s="27">
        <f>IFERROR(VLOOKUP(A35,[1]!TablaMateriales[#Data],2,FALSE),0)</f>
        <v>1200</v>
      </c>
      <c r="E35" s="27">
        <f>B35*D35</f>
        <v>324000</v>
      </c>
      <c r="F35" s="282"/>
    </row>
    <row r="36" spans="1:6" x14ac:dyDescent="0.35">
      <c r="A36" s="31" t="s">
        <v>493</v>
      </c>
      <c r="B36" s="78">
        <v>8</v>
      </c>
      <c r="C36" s="23"/>
      <c r="D36" s="27">
        <f>IFERROR(VLOOKUP(A36,[1]!TablaMateriales[#Data],2,FALSE),0)</f>
        <v>31000</v>
      </c>
      <c r="E36" s="27">
        <f>B36*D36</f>
        <v>248000</v>
      </c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ht="15" thickBot="1" x14ac:dyDescent="0.4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296"/>
      <c r="B40" s="297"/>
      <c r="C40" s="297"/>
      <c r="D40" s="297"/>
      <c r="E40" s="298"/>
      <c r="F40" s="28">
        <f>SUM(E23:E39)</f>
        <v>1510500</v>
      </c>
    </row>
    <row r="41" spans="1:6" x14ac:dyDescent="0.35">
      <c r="A41" s="33" t="s">
        <v>88</v>
      </c>
      <c r="B41" s="34" t="s">
        <v>83</v>
      </c>
      <c r="C41" s="35" t="s">
        <v>84</v>
      </c>
      <c r="D41" s="36" t="s">
        <v>89</v>
      </c>
      <c r="E41" s="37" t="s">
        <v>86</v>
      </c>
      <c r="F41" s="280"/>
    </row>
    <row r="42" spans="1:6" x14ac:dyDescent="0.35">
      <c r="A42" s="38" t="s">
        <v>272</v>
      </c>
      <c r="B42" s="34">
        <v>1</v>
      </c>
      <c r="C42" s="35">
        <v>1.8</v>
      </c>
      <c r="D42" s="39">
        <f>'tabla salarial'!AS4</f>
        <v>555393.74067333317</v>
      </c>
      <c r="E42" s="37">
        <f>B42*C42*D42</f>
        <v>999708.73321199976</v>
      </c>
      <c r="F42" s="281"/>
    </row>
    <row r="43" spans="1:6" x14ac:dyDescent="0.35">
      <c r="A43" s="107" t="s">
        <v>273</v>
      </c>
      <c r="B43" s="20">
        <v>1</v>
      </c>
      <c r="C43" s="40">
        <v>1.8</v>
      </c>
      <c r="D43" s="39">
        <f>'tabla salarial'!AS4</f>
        <v>555393.74067333317</v>
      </c>
      <c r="E43" s="21">
        <f t="shared" ref="E43:E49" si="2">B43*C43*D43</f>
        <v>999708.73321199976</v>
      </c>
      <c r="F43" s="281"/>
    </row>
    <row r="44" spans="1:6" x14ac:dyDescent="0.35">
      <c r="A44" s="107" t="s">
        <v>277</v>
      </c>
      <c r="B44" s="20">
        <v>1</v>
      </c>
      <c r="C44" s="35"/>
      <c r="D44" s="39">
        <f>'tabla salarial'!AS4</f>
        <v>555393.74067333317</v>
      </c>
      <c r="E44" s="21">
        <f>B44*C44*D44</f>
        <v>0</v>
      </c>
      <c r="F44" s="281"/>
    </row>
    <row r="45" spans="1:6" x14ac:dyDescent="0.35">
      <c r="A45" s="107" t="s">
        <v>278</v>
      </c>
      <c r="B45" s="20">
        <v>1.5</v>
      </c>
      <c r="C45" s="35"/>
      <c r="D45" s="39">
        <f>'tabla salarial'!AS6</f>
        <v>407197.80492666672</v>
      </c>
      <c r="E45" s="21">
        <f>B45*C45*D45</f>
        <v>0</v>
      </c>
      <c r="F45" s="281"/>
    </row>
    <row r="46" spans="1:6" x14ac:dyDescent="0.35">
      <c r="A46" s="107" t="s">
        <v>276</v>
      </c>
      <c r="B46" s="20">
        <v>2</v>
      </c>
      <c r="C46" s="35"/>
      <c r="D46" s="39">
        <f>'tabla salarial'!AS6</f>
        <v>407197.80492666672</v>
      </c>
      <c r="E46" s="21">
        <f>B46*C46*D46</f>
        <v>0</v>
      </c>
      <c r="F46" s="281"/>
    </row>
    <row r="47" spans="1:6" x14ac:dyDescent="0.35">
      <c r="A47" s="107" t="s">
        <v>274</v>
      </c>
      <c r="B47" s="20">
        <v>1</v>
      </c>
      <c r="C47" s="35">
        <v>3.6</v>
      </c>
      <c r="D47" s="39">
        <f>'tabla salarial'!AS7</f>
        <v>371571.3297066667</v>
      </c>
      <c r="E47" s="21">
        <f t="shared" si="2"/>
        <v>1337656.7869440001</v>
      </c>
      <c r="F47" s="281"/>
    </row>
    <row r="48" spans="1:6" x14ac:dyDescent="0.35">
      <c r="A48" s="107" t="s">
        <v>223</v>
      </c>
      <c r="B48" s="20">
        <v>1</v>
      </c>
      <c r="C48" s="35">
        <v>1.8</v>
      </c>
      <c r="D48" s="39">
        <f>'tabla salarial'!AS8</f>
        <v>355821.87609999999</v>
      </c>
      <c r="E48" s="21">
        <f>B48*C48*D48</f>
        <v>640479.37698000006</v>
      </c>
      <c r="F48" s="281"/>
    </row>
    <row r="49" spans="1:6" x14ac:dyDescent="0.35">
      <c r="A49" s="107" t="s">
        <v>275</v>
      </c>
      <c r="B49" s="20">
        <v>3</v>
      </c>
      <c r="C49" s="40">
        <v>3.6</v>
      </c>
      <c r="D49" s="39">
        <f>'tabla salarial'!AS9</f>
        <v>382109.06042666658</v>
      </c>
      <c r="E49" s="21">
        <f t="shared" si="2"/>
        <v>4126777.8526079995</v>
      </c>
      <c r="F49" s="281"/>
    </row>
    <row r="50" spans="1:6" x14ac:dyDescent="0.35">
      <c r="A50" s="287">
        <v>3</v>
      </c>
      <c r="B50" s="287"/>
      <c r="C50" s="287"/>
      <c r="D50" s="287"/>
      <c r="E50" s="287"/>
      <c r="F50" s="42">
        <f>SUM(E42:E49)</f>
        <v>8104331.4829559997</v>
      </c>
    </row>
    <row r="51" spans="1:6" x14ac:dyDescent="0.35">
      <c r="A51" s="33" t="s">
        <v>279</v>
      </c>
      <c r="B51" s="34" t="s">
        <v>83</v>
      </c>
      <c r="C51" s="35" t="s">
        <v>84</v>
      </c>
      <c r="D51" s="36" t="s">
        <v>269</v>
      </c>
      <c r="E51" s="37" t="s">
        <v>86</v>
      </c>
      <c r="F51" s="283"/>
    </row>
    <row r="52" spans="1:6" x14ac:dyDescent="0.35">
      <c r="A52" s="108"/>
      <c r="B52" s="108"/>
      <c r="C52" s="108"/>
      <c r="D52" s="108"/>
      <c r="E52" s="110">
        <f>B52*C52*D52</f>
        <v>0</v>
      </c>
      <c r="F52" s="284"/>
    </row>
    <row r="53" spans="1:6" x14ac:dyDescent="0.35">
      <c r="A53" s="108" t="s">
        <v>241</v>
      </c>
      <c r="B53" s="108">
        <v>1</v>
      </c>
      <c r="C53" s="108">
        <v>57</v>
      </c>
      <c r="D53" s="108">
        <f>IFERROR(VLOOKUP(A53,[1]!TablaTransporte[#Data],2,FALSE),0)</f>
        <v>65000</v>
      </c>
      <c r="E53" s="108">
        <f>B53*C53*D53</f>
        <v>3705000</v>
      </c>
      <c r="F53" s="284"/>
    </row>
    <row r="54" spans="1:6" x14ac:dyDescent="0.35">
      <c r="A54" s="108" t="s">
        <v>381</v>
      </c>
      <c r="B54" s="108">
        <v>1</v>
      </c>
      <c r="C54" s="214">
        <v>0.5</v>
      </c>
      <c r="D54" s="108">
        <f>IFERROR(VLOOKUP(A54,[1]!TablaTransporte[#Data],2,FALSE),0)</f>
        <v>600000</v>
      </c>
      <c r="E54" s="108">
        <f>B54*C54*D54</f>
        <v>300000</v>
      </c>
      <c r="F54" s="284"/>
    </row>
    <row r="55" spans="1:6" x14ac:dyDescent="0.35">
      <c r="A55" s="108" t="s">
        <v>245</v>
      </c>
      <c r="B55" s="108">
        <v>1</v>
      </c>
      <c r="C55" s="214">
        <v>0.6</v>
      </c>
      <c r="D55" s="108">
        <f>IFERROR(VLOOKUP(A55,[1]!TablaTransporte[#Data],2,FALSE),0)</f>
        <v>1350000</v>
      </c>
      <c r="E55" s="108">
        <f>B55*C55*D55</f>
        <v>810000</v>
      </c>
      <c r="F55" s="285"/>
    </row>
    <row r="56" spans="1:6" x14ac:dyDescent="0.35">
      <c r="A56" s="43"/>
      <c r="B56" s="43"/>
      <c r="C56" s="43"/>
      <c r="D56" s="43"/>
      <c r="E56" s="43"/>
      <c r="F56" s="42">
        <f>E53</f>
        <v>3705000</v>
      </c>
    </row>
    <row r="57" spans="1:6" x14ac:dyDescent="0.35">
      <c r="A57" s="288"/>
      <c r="B57" s="289"/>
      <c r="C57" s="289"/>
      <c r="D57" s="289"/>
      <c r="E57" s="290"/>
      <c r="F57" s="42">
        <f>F21+F40+F50+F56</f>
        <v>13373031.482956</v>
      </c>
    </row>
    <row r="58" spans="1:6" ht="15" thickBot="1" x14ac:dyDescent="0.4">
      <c r="A58" s="291"/>
      <c r="B58" s="292"/>
      <c r="C58" s="292"/>
      <c r="D58" s="292"/>
      <c r="E58" s="293"/>
      <c r="F58" s="44">
        <f>F57*A58</f>
        <v>0</v>
      </c>
    </row>
    <row r="59" spans="1:6" ht="15" thickBot="1" x14ac:dyDescent="0.4">
      <c r="A59" s="299"/>
      <c r="B59" s="300"/>
      <c r="C59" s="300"/>
      <c r="D59" s="300"/>
      <c r="E59" s="301"/>
      <c r="F59" s="28">
        <f>F57+F58</f>
        <v>13373031.482956</v>
      </c>
    </row>
    <row r="60" spans="1:6" ht="15" thickBot="1" x14ac:dyDescent="0.4">
      <c r="A60" s="302"/>
      <c r="B60" s="300"/>
      <c r="C60" s="300"/>
      <c r="D60" s="300"/>
      <c r="E60" s="301"/>
      <c r="F60" s="28">
        <f>F59*A60</f>
        <v>0</v>
      </c>
    </row>
    <row r="61" spans="1:6" ht="15" thickBot="1" x14ac:dyDescent="0.4">
      <c r="A61" s="286"/>
      <c r="B61" s="286"/>
      <c r="C61" s="286"/>
      <c r="D61" s="286"/>
      <c r="E61" s="286"/>
      <c r="F61" s="28">
        <f>F59+F60</f>
        <v>13373031.482956</v>
      </c>
    </row>
    <row r="62" spans="1:6" x14ac:dyDescent="0.35">
      <c r="F62" s="224">
        <f>F61/F3</f>
        <v>2228838.5804926665</v>
      </c>
    </row>
  </sheetData>
  <mergeCells count="13">
    <mergeCell ref="A59:E59"/>
    <mergeCell ref="A60:E60"/>
    <mergeCell ref="A61:E61"/>
    <mergeCell ref="F41:F49"/>
    <mergeCell ref="A50:E50"/>
    <mergeCell ref="F51:F55"/>
    <mergeCell ref="A57:E57"/>
    <mergeCell ref="A58:E58"/>
    <mergeCell ref="A40:E40"/>
    <mergeCell ref="A1:F1"/>
    <mergeCell ref="F4:F20"/>
    <mergeCell ref="A21:E21"/>
    <mergeCell ref="F22:F39"/>
  </mergeCells>
  <dataValidations count="3">
    <dataValidation type="list" allowBlank="1" showInputMessage="1" showErrorMessage="1" sqref="A23:A40" xr:uid="{26A4ABA1-5567-4808-AB7D-5C6E6A9E49E6}">
      <formula1>ListaMateriales</formula1>
    </dataValidation>
    <dataValidation type="list" allowBlank="1" showInputMessage="1" showErrorMessage="1" sqref="A53:A55" xr:uid="{DAA3ADC6-9A7F-4A73-82E4-D91010EEC0CD}">
      <formula1>ListaTransporte</formula1>
    </dataValidation>
    <dataValidation type="list" allowBlank="1" showInputMessage="1" showErrorMessage="1" sqref="A3:A21" xr:uid="{763633F4-AC11-4020-8B48-65C6F2857966}">
      <formula1>ListaEquipos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2F71A-BA9A-4C4F-9DE3-B2B5ED7569CE}">
  <sheetPr>
    <tabColor rgb="FF00B050"/>
  </sheetPr>
  <dimension ref="A1:F63"/>
  <sheetViews>
    <sheetView topLeftCell="A49" workbookViewId="0">
      <selection activeCell="F63" sqref="F63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193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159</v>
      </c>
    </row>
    <row r="3" spans="1:6" x14ac:dyDescent="0.35">
      <c r="A3" s="33"/>
      <c r="B3" s="34"/>
      <c r="C3" s="45"/>
      <c r="D3" s="46"/>
      <c r="E3" s="37"/>
      <c r="F3" s="77">
        <v>4</v>
      </c>
    </row>
    <row r="4" spans="1:6" x14ac:dyDescent="0.35">
      <c r="A4" s="24" t="s">
        <v>382</v>
      </c>
      <c r="B4" s="22">
        <v>2</v>
      </c>
      <c r="C4" s="23">
        <v>1.5</v>
      </c>
      <c r="D4" s="24">
        <f>IFERROR(VLOOKUP(A4,[1]!TablaEquipos[#Data],2,FALSE),0)</f>
        <v>700</v>
      </c>
      <c r="E4" s="25">
        <f t="shared" ref="E4:E11" si="0">B4*C4*D4</f>
        <v>2100</v>
      </c>
      <c r="F4" s="310"/>
    </row>
    <row r="5" spans="1:6" x14ac:dyDescent="0.35">
      <c r="A5" s="26" t="s">
        <v>457</v>
      </c>
      <c r="B5" s="22">
        <v>1</v>
      </c>
      <c r="C5" s="23">
        <v>1.5</v>
      </c>
      <c r="D5" s="24">
        <f>IFERROR(VLOOKUP(A5,[1]!TablaEquipos[#Data],2,FALSE),0)</f>
        <v>700</v>
      </c>
      <c r="E5" s="25">
        <f t="shared" si="0"/>
        <v>1050</v>
      </c>
      <c r="F5" s="310"/>
    </row>
    <row r="6" spans="1:6" x14ac:dyDescent="0.35">
      <c r="A6" s="26" t="s">
        <v>496</v>
      </c>
      <c r="B6" s="22">
        <v>1</v>
      </c>
      <c r="C6" s="23">
        <v>1.5</v>
      </c>
      <c r="D6" s="24">
        <f>IFERROR(VLOOKUP(A6,[1]!TablaEquipos[#Data],2,FALSE),0)</f>
        <v>700</v>
      </c>
      <c r="E6" s="25">
        <f t="shared" si="0"/>
        <v>1050</v>
      </c>
      <c r="F6" s="310"/>
    </row>
    <row r="7" spans="1:6" x14ac:dyDescent="0.35">
      <c r="A7" s="24" t="s">
        <v>456</v>
      </c>
      <c r="B7" s="22">
        <v>1</v>
      </c>
      <c r="C7" s="23">
        <v>1.5</v>
      </c>
      <c r="D7" s="24">
        <f>IFERROR(VLOOKUP(A7,[1]!TablaEquipos[#Data],2,FALSE),0)</f>
        <v>1500</v>
      </c>
      <c r="E7" s="25">
        <f t="shared" si="0"/>
        <v>2250</v>
      </c>
      <c r="F7" s="310"/>
    </row>
    <row r="8" spans="1:6" x14ac:dyDescent="0.35">
      <c r="A8" s="26" t="s">
        <v>497</v>
      </c>
      <c r="B8" s="22">
        <v>1</v>
      </c>
      <c r="C8" s="23">
        <v>1.5</v>
      </c>
      <c r="D8" s="24">
        <f>IFERROR(VLOOKUP(A8,[1]!TablaEquipos[#Data],2,FALSE),0)</f>
        <v>1000</v>
      </c>
      <c r="E8" s="25">
        <f t="shared" si="0"/>
        <v>1500</v>
      </c>
      <c r="F8" s="310"/>
    </row>
    <row r="9" spans="1:6" x14ac:dyDescent="0.35">
      <c r="A9" s="24" t="s">
        <v>432</v>
      </c>
      <c r="B9" s="22">
        <v>1</v>
      </c>
      <c r="C9" s="23">
        <v>1.5</v>
      </c>
      <c r="D9" s="24">
        <f>IFERROR(VLOOKUP(A9,[1]!TablaEquipos[#Data],2,FALSE),0)</f>
        <v>500</v>
      </c>
      <c r="E9" s="25">
        <f t="shared" si="0"/>
        <v>750</v>
      </c>
      <c r="F9" s="310"/>
    </row>
    <row r="10" spans="1:6" x14ac:dyDescent="0.35">
      <c r="A10" s="81" t="s">
        <v>237</v>
      </c>
      <c r="B10" s="82">
        <v>1</v>
      </c>
      <c r="C10" s="23">
        <v>1.5</v>
      </c>
      <c r="D10" s="81">
        <f>IFERROR(VLOOKUP(A10,[1]!TablaEquipos[#Data],2,FALSE),0)</f>
        <v>1000</v>
      </c>
      <c r="E10" s="83">
        <f t="shared" si="0"/>
        <v>1500</v>
      </c>
      <c r="F10" s="310"/>
    </row>
    <row r="11" spans="1:6" x14ac:dyDescent="0.35">
      <c r="A11" s="24" t="s">
        <v>233</v>
      </c>
      <c r="B11" s="22">
        <v>1</v>
      </c>
      <c r="C11" s="23">
        <v>1.5</v>
      </c>
      <c r="D11" s="24">
        <f>IFERROR(VLOOKUP(A11,[1]!TablaEquipos[#Data],2,FALSE),0)</f>
        <v>500</v>
      </c>
      <c r="E11" s="25">
        <f t="shared" si="0"/>
        <v>750</v>
      </c>
      <c r="F11" s="310"/>
    </row>
    <row r="12" spans="1:6" x14ac:dyDescent="0.35">
      <c r="A12" s="24" t="s">
        <v>490</v>
      </c>
      <c r="B12" s="22">
        <v>1</v>
      </c>
      <c r="C12" s="23">
        <v>1.5</v>
      </c>
      <c r="D12" s="24">
        <f>IFERROR(VLOOKUP(A12,[1]!TablaEquipos[#Data],2,FALSE),0)</f>
        <v>1000</v>
      </c>
      <c r="E12" s="25">
        <f>B12*D12</f>
        <v>1000</v>
      </c>
      <c r="F12" s="310"/>
    </row>
    <row r="13" spans="1:6" x14ac:dyDescent="0.35">
      <c r="A13" s="24" t="s">
        <v>229</v>
      </c>
      <c r="B13" s="22">
        <v>2</v>
      </c>
      <c r="C13" s="23">
        <v>1.5</v>
      </c>
      <c r="D13" s="24">
        <f>IFERROR(VLOOKUP(A13,[1]!TablaEquipos[#Data],2,FALSE),0)</f>
        <v>1500</v>
      </c>
      <c r="E13" s="25">
        <f>B13*C13*D13</f>
        <v>4500</v>
      </c>
      <c r="F13" s="310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>
        <f>B14*C14*D14</f>
        <v>0</v>
      </c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16450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253</v>
      </c>
      <c r="B24" s="22">
        <v>3</v>
      </c>
      <c r="C24" s="29"/>
      <c r="D24" s="27">
        <f>IFERROR(VLOOKUP(A24,[1]!TablaMateriales[#Data],2,FALSE),0)</f>
        <v>35000</v>
      </c>
      <c r="E24" s="25">
        <f>B24*D24</f>
        <v>105000</v>
      </c>
      <c r="F24" s="281"/>
    </row>
    <row r="25" spans="1:6" x14ac:dyDescent="0.35">
      <c r="A25" s="30" t="s">
        <v>349</v>
      </c>
      <c r="B25" s="22">
        <v>7</v>
      </c>
      <c r="C25" s="29"/>
      <c r="D25" s="27">
        <f>IFERROR(VLOOKUP(A25,[1]!TablaMateriales[#Data],2,FALSE),0)</f>
        <v>30000</v>
      </c>
      <c r="E25" s="25">
        <f>B25*D25</f>
        <v>210000</v>
      </c>
      <c r="F25" s="281"/>
    </row>
    <row r="26" spans="1:6" x14ac:dyDescent="0.35">
      <c r="A26" s="30" t="s">
        <v>263</v>
      </c>
      <c r="B26" s="22">
        <v>2</v>
      </c>
      <c r="C26" s="29"/>
      <c r="D26" s="27">
        <f>IFERROR(VLOOKUP(A26,[1]!TablaMateriales[#Data],2,FALSE),0)</f>
        <v>14000</v>
      </c>
      <c r="E26" s="25">
        <f>B26*D26</f>
        <v>28000</v>
      </c>
      <c r="F26" s="281"/>
    </row>
    <row r="27" spans="1:6" x14ac:dyDescent="0.35">
      <c r="A27" s="30" t="s">
        <v>494</v>
      </c>
      <c r="B27" s="22">
        <v>2</v>
      </c>
      <c r="C27" s="29"/>
      <c r="D27" s="27">
        <f>IFERROR(VLOOKUP(A27,[1]!TablaMateriales[#Data],2,FALSE),0)</f>
        <v>0</v>
      </c>
      <c r="E27" s="25">
        <f>B27*D27</f>
        <v>0</v>
      </c>
      <c r="F27" s="281"/>
    </row>
    <row r="28" spans="1:6" x14ac:dyDescent="0.35">
      <c r="A28" s="30" t="s">
        <v>257</v>
      </c>
      <c r="B28" s="78">
        <v>1</v>
      </c>
      <c r="C28" s="23"/>
      <c r="D28" s="27">
        <f>IFERROR(VLOOKUP(A28,[1]!TablaMateriales[#Data],2,FALSE),0)</f>
        <v>9500</v>
      </c>
      <c r="E28" s="25">
        <f>B28*D28</f>
        <v>9500</v>
      </c>
      <c r="F28" s="281"/>
    </row>
    <row r="29" spans="1:6" x14ac:dyDescent="0.35">
      <c r="A29" s="30" t="s">
        <v>495</v>
      </c>
      <c r="B29" s="78">
        <v>1.5</v>
      </c>
      <c r="C29" s="23"/>
      <c r="D29" s="27">
        <f>IFERROR(VLOOKUP(A29,[1]!TablaMateriales[#Data],2,FALSE),0)</f>
        <v>195000</v>
      </c>
      <c r="E29" s="25">
        <f t="shared" ref="E29:E35" si="1">B29*D29</f>
        <v>292500</v>
      </c>
      <c r="F29" s="281"/>
    </row>
    <row r="30" spans="1:6" x14ac:dyDescent="0.35">
      <c r="A30" s="30" t="s">
        <v>471</v>
      </c>
      <c r="B30" s="78">
        <v>2</v>
      </c>
      <c r="C30" s="23"/>
      <c r="D30" s="27">
        <f>IFERROR(VLOOKUP(A30,[1]!TablaMateriales[#Data],2,FALSE),0)</f>
        <v>4300</v>
      </c>
      <c r="E30" s="25">
        <f t="shared" si="1"/>
        <v>8600</v>
      </c>
      <c r="F30" s="281"/>
    </row>
    <row r="31" spans="1:6" x14ac:dyDescent="0.35">
      <c r="A31" s="30"/>
      <c r="B31" s="78"/>
      <c r="C31" s="23"/>
      <c r="D31" s="27">
        <f>IFERROR(VLOOKUP(A31,[1]!TablaMateriales[#Data],2,FALSE),0)</f>
        <v>0</v>
      </c>
      <c r="E31" s="25">
        <f t="shared" si="1"/>
        <v>0</v>
      </c>
      <c r="F31" s="281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5">
        <f t="shared" si="1"/>
        <v>0</v>
      </c>
      <c r="F32" s="281"/>
    </row>
    <row r="33" spans="1:6" x14ac:dyDescent="0.35">
      <c r="A33" s="30"/>
      <c r="B33" s="78"/>
      <c r="C33" s="23"/>
      <c r="D33" s="27">
        <f>IFERROR(VLOOKUP(A33,[1]!TablaMateriales[#Data],2,FALSE),0)</f>
        <v>0</v>
      </c>
      <c r="E33" s="25">
        <f t="shared" si="1"/>
        <v>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653600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0.75</v>
      </c>
      <c r="D43" s="39">
        <f>'tabla salarial'!AS4</f>
        <v>555393.74067333317</v>
      </c>
      <c r="E43" s="37">
        <f>B43*C43*D43</f>
        <v>416545.30550499988</v>
      </c>
      <c r="F43" s="281"/>
    </row>
    <row r="44" spans="1:6" x14ac:dyDescent="0.35">
      <c r="A44" s="107" t="s">
        <v>273</v>
      </c>
      <c r="B44" s="20">
        <v>1</v>
      </c>
      <c r="C44" s="40">
        <v>0.75</v>
      </c>
      <c r="D44" s="39">
        <f>'tabla salarial'!AS4</f>
        <v>555393.74067333317</v>
      </c>
      <c r="E44" s="21">
        <f t="shared" ref="E44:E50" si="2">B44*C44*D44</f>
        <v>416545.30550499988</v>
      </c>
      <c r="F44" s="281"/>
    </row>
    <row r="45" spans="1:6" x14ac:dyDescent="0.35">
      <c r="A45" s="107" t="s">
        <v>277</v>
      </c>
      <c r="B45" s="20">
        <v>1</v>
      </c>
      <c r="C45" s="35"/>
      <c r="D45" s="39">
        <f>'tabla salarial'!AS4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>
        <v>1.5</v>
      </c>
      <c r="C46" s="35"/>
      <c r="D46" s="39">
        <f>'tabla salarial'!AS6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>
        <v>2</v>
      </c>
      <c r="C47" s="35"/>
      <c r="D47" s="39">
        <f>'tabla salarial'!AS6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>
        <v>1.8</v>
      </c>
      <c r="D48" s="39">
        <f>'tabla salarial'!AS7</f>
        <v>371571.3297066667</v>
      </c>
      <c r="E48" s="21">
        <f t="shared" si="2"/>
        <v>668828.39347200003</v>
      </c>
      <c r="F48" s="281"/>
    </row>
    <row r="49" spans="1:6" x14ac:dyDescent="0.35">
      <c r="A49" s="107" t="s">
        <v>223</v>
      </c>
      <c r="B49" s="20">
        <v>1</v>
      </c>
      <c r="C49" s="35">
        <v>0.75</v>
      </c>
      <c r="D49" s="39">
        <f>'tabla salarial'!AS8</f>
        <v>355821.87609999999</v>
      </c>
      <c r="E49" s="21">
        <f>B49*C49*D49</f>
        <v>266866.407075</v>
      </c>
      <c r="F49" s="281"/>
    </row>
    <row r="50" spans="1:6" x14ac:dyDescent="0.35">
      <c r="A50" s="107" t="s">
        <v>275</v>
      </c>
      <c r="B50" s="20">
        <v>2</v>
      </c>
      <c r="C50" s="40">
        <v>1.8</v>
      </c>
      <c r="D50" s="39">
        <f>'tabla salarial'!AS9</f>
        <v>382109.06042666658</v>
      </c>
      <c r="E50" s="21">
        <f t="shared" si="2"/>
        <v>1375592.6175359997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3144378.0290929992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66">
        <v>0.1</v>
      </c>
      <c r="D53" s="108">
        <f>IFERROR(VLOOKUP(A53,[1]!TablaTransporte[#Data],2,FALSE),0)</f>
        <v>550000</v>
      </c>
      <c r="E53" s="110">
        <f>B53*C53*D53</f>
        <v>55000</v>
      </c>
      <c r="F53" s="284"/>
    </row>
    <row r="54" spans="1:6" x14ac:dyDescent="0.35">
      <c r="A54" s="108" t="s">
        <v>381</v>
      </c>
      <c r="B54" s="108">
        <v>1</v>
      </c>
      <c r="C54" s="214">
        <v>0.75</v>
      </c>
      <c r="D54" s="108">
        <f>IFERROR(VLOOKUP(A54,[1]!TablaTransporte[#Data],2,FALSE),0)</f>
        <v>600000</v>
      </c>
      <c r="E54" s="108">
        <f>B54*C54*D54</f>
        <v>450000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450000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4264428.0290929992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4264428.0290929992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4264428.0290929992</v>
      </c>
    </row>
    <row r="63" spans="1:6" x14ac:dyDescent="0.35">
      <c r="F63" s="224">
        <f>F62/F3</f>
        <v>1066107.0072732498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3">
    <dataValidation type="list" allowBlank="1" showInputMessage="1" showErrorMessage="1" sqref="A24:A41" xr:uid="{1981C617-E68F-4716-A140-57B6A3465149}">
      <formula1>ListaMateriales</formula1>
    </dataValidation>
    <dataValidation type="list" allowBlank="1" showInputMessage="1" showErrorMessage="1" sqref="A3:A22" xr:uid="{5EEC9B79-704A-42CE-AB3E-8E1719A080AA}">
      <formula1>ListaEquipos</formula1>
    </dataValidation>
    <dataValidation type="list" allowBlank="1" showInputMessage="1" showErrorMessage="1" sqref="A53:A56" xr:uid="{FD85C517-EA8E-4904-97BB-08E8A77664A6}">
      <formula1>ListaTransporte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5A11-B8F0-401D-9DF6-54CE2388CCCC}">
  <sheetPr>
    <tabColor rgb="FF00B050"/>
  </sheetPr>
  <dimension ref="A1:F63"/>
  <sheetViews>
    <sheetView workbookViewId="0">
      <selection activeCell="D5" sqref="D5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194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">
        <v>498</v>
      </c>
    </row>
    <row r="3" spans="1:6" x14ac:dyDescent="0.35">
      <c r="A3" s="33"/>
      <c r="B3" s="34"/>
      <c r="C3" s="45"/>
      <c r="D3" s="46"/>
      <c r="E3" s="37"/>
      <c r="F3" s="77">
        <v>438</v>
      </c>
    </row>
    <row r="4" spans="1:6" x14ac:dyDescent="0.35">
      <c r="A4" s="24" t="s">
        <v>339</v>
      </c>
      <c r="B4" s="22">
        <v>1</v>
      </c>
      <c r="C4" s="23">
        <v>62</v>
      </c>
      <c r="D4" s="24">
        <f>IFERROR(VLOOKUP(A4,[1]!TablaEquipos[#Data],2,FALSE),0)</f>
        <v>40000</v>
      </c>
      <c r="E4" s="25">
        <f t="shared" ref="E4:E11" si="0">B4*C4*D4</f>
        <v>2480000</v>
      </c>
      <c r="F4" s="310"/>
    </row>
    <row r="5" spans="1:6" x14ac:dyDescent="0.35">
      <c r="A5" s="26" t="s">
        <v>502</v>
      </c>
      <c r="B5" s="22">
        <v>1</v>
      </c>
      <c r="C5" s="23">
        <v>62</v>
      </c>
      <c r="D5" s="24">
        <f>IFERROR(VLOOKUP(A5,[1]!TablaEquipos[#Data],2,FALSE),0)</f>
        <v>1000</v>
      </c>
      <c r="E5" s="25">
        <f t="shared" si="0"/>
        <v>62000</v>
      </c>
      <c r="F5" s="310"/>
    </row>
    <row r="6" spans="1:6" x14ac:dyDescent="0.35">
      <c r="A6" s="26"/>
      <c r="B6" s="22"/>
      <c r="C6" s="23"/>
      <c r="D6" s="24">
        <f>IFERROR(VLOOKUP(A6,[1]!TablaEquipos[#Data],2,FALSE),0)</f>
        <v>0</v>
      </c>
      <c r="E6" s="25">
        <f t="shared" si="0"/>
        <v>0</v>
      </c>
      <c r="F6" s="310"/>
    </row>
    <row r="7" spans="1:6" x14ac:dyDescent="0.35">
      <c r="A7" s="24"/>
      <c r="B7" s="22"/>
      <c r="C7" s="23"/>
      <c r="D7" s="24">
        <f>IFERROR(VLOOKUP(A7,[1]!TablaEquipos[#Data],2,FALSE),0)</f>
        <v>0</v>
      </c>
      <c r="E7" s="25">
        <f t="shared" si="0"/>
        <v>0</v>
      </c>
      <c r="F7" s="310"/>
    </row>
    <row r="8" spans="1:6" x14ac:dyDescent="0.35">
      <c r="A8" s="26"/>
      <c r="B8" s="22"/>
      <c r="C8" s="23"/>
      <c r="D8" s="24">
        <f>IFERROR(VLOOKUP(A8,[1]!TablaEquipos[#Data],2,FALSE),0)</f>
        <v>0</v>
      </c>
      <c r="E8" s="25">
        <f t="shared" si="0"/>
        <v>0</v>
      </c>
      <c r="F8" s="310"/>
    </row>
    <row r="9" spans="1:6" x14ac:dyDescent="0.35">
      <c r="A9" s="24"/>
      <c r="B9" s="22"/>
      <c r="C9" s="23"/>
      <c r="D9" s="24">
        <f>IFERROR(VLOOKUP(A9,[1]!TablaEquipos[#Data],2,FALSE),0)</f>
        <v>0</v>
      </c>
      <c r="E9" s="25">
        <f t="shared" si="0"/>
        <v>0</v>
      </c>
      <c r="F9" s="310"/>
    </row>
    <row r="10" spans="1:6" x14ac:dyDescent="0.35">
      <c r="A10" s="81"/>
      <c r="B10" s="82"/>
      <c r="C10" s="32"/>
      <c r="D10" s="81">
        <f>IFERROR(VLOOKUP(A10,[1]!TablaEquipos[#Data],2,FALSE),0)</f>
        <v>0</v>
      </c>
      <c r="E10" s="83">
        <f t="shared" si="0"/>
        <v>0</v>
      </c>
      <c r="F10" s="310"/>
    </row>
    <row r="11" spans="1:6" x14ac:dyDescent="0.35">
      <c r="A11" s="24"/>
      <c r="B11" s="22"/>
      <c r="C11" s="23"/>
      <c r="D11" s="24">
        <f>IFERROR(VLOOKUP(A11,[1]!TablaEquipos[#Data],2,FALSE),0)</f>
        <v>0</v>
      </c>
      <c r="E11" s="25">
        <f t="shared" si="0"/>
        <v>0</v>
      </c>
      <c r="F11" s="310"/>
    </row>
    <row r="12" spans="1:6" x14ac:dyDescent="0.35">
      <c r="A12" s="24"/>
      <c r="B12" s="22"/>
      <c r="C12" s="23"/>
      <c r="D12" s="24">
        <f>IFERROR(VLOOKUP(A12,[1]!TablaEquipos[#Data],2,FALSE),0)</f>
        <v>0</v>
      </c>
      <c r="E12" s="25">
        <f>B12*D12</f>
        <v>0</v>
      </c>
      <c r="F12" s="310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>
        <f>B14*C14*D14</f>
        <v>0</v>
      </c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2542000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/>
      <c r="B24" s="22"/>
      <c r="C24" s="29"/>
      <c r="D24" s="27">
        <f>IFERROR(VLOOKUP(A24,[1]!TablaMateriales[#Data],2,FALSE),0)</f>
        <v>0</v>
      </c>
      <c r="E24" s="25">
        <f>B24*D24</f>
        <v>0</v>
      </c>
      <c r="F24" s="281"/>
    </row>
    <row r="25" spans="1:6" x14ac:dyDescent="0.35">
      <c r="A25" s="30" t="s">
        <v>384</v>
      </c>
      <c r="B25" s="22">
        <v>1.5</v>
      </c>
      <c r="C25" s="29"/>
      <c r="D25" s="27">
        <f>IFERROR(VLOOKUP(A25,[1]!TablaMateriales[#Data],2,FALSE),0)</f>
        <v>85000</v>
      </c>
      <c r="E25" s="25">
        <f>B25*D25</f>
        <v>127500</v>
      </c>
      <c r="F25" s="281"/>
    </row>
    <row r="26" spans="1:6" x14ac:dyDescent="0.35">
      <c r="A26" s="30" t="s">
        <v>499</v>
      </c>
      <c r="B26" s="22">
        <v>3</v>
      </c>
      <c r="C26" s="29"/>
      <c r="D26" s="27">
        <f>IFERROR(VLOOKUP(A26,[1]!TablaMateriales[#Data],2,FALSE),0)</f>
        <v>22000</v>
      </c>
      <c r="E26" s="25">
        <f>B26*D26</f>
        <v>66000</v>
      </c>
      <c r="F26" s="281"/>
    </row>
    <row r="27" spans="1:6" x14ac:dyDescent="0.35">
      <c r="A27" s="30" t="s">
        <v>403</v>
      </c>
      <c r="B27" s="22">
        <v>150</v>
      </c>
      <c r="C27" s="29"/>
      <c r="D27" s="27">
        <f>IFERROR(VLOOKUP(A27,[1]!TablaMateriales[#Data],2,FALSE),0)</f>
        <v>11500</v>
      </c>
      <c r="E27" s="25">
        <f>B27*D27</f>
        <v>1725000</v>
      </c>
      <c r="F27" s="281"/>
    </row>
    <row r="28" spans="1:6" x14ac:dyDescent="0.35">
      <c r="A28" s="30" t="s">
        <v>501</v>
      </c>
      <c r="B28" s="78">
        <v>1</v>
      </c>
      <c r="C28" s="23"/>
      <c r="D28" s="27">
        <f>IFERROR(VLOOKUP(A28,[1]!TablaMateriales[#Data],2,FALSE),0)</f>
        <v>95000</v>
      </c>
      <c r="E28" s="25">
        <f>B28*D28</f>
        <v>95000</v>
      </c>
      <c r="F28" s="281"/>
    </row>
    <row r="29" spans="1:6" x14ac:dyDescent="0.35">
      <c r="A29" s="30"/>
      <c r="B29" s="78"/>
      <c r="C29" s="23"/>
      <c r="D29" s="27">
        <f>IFERROR(VLOOKUP(A29,[1]!TablaMateriales[#Data],2,FALSE),0)</f>
        <v>0</v>
      </c>
      <c r="E29" s="25">
        <f t="shared" ref="E29:E35" si="1">B29*D29</f>
        <v>0</v>
      </c>
      <c r="F29" s="281"/>
    </row>
    <row r="30" spans="1:6" x14ac:dyDescent="0.35">
      <c r="A30" s="30"/>
      <c r="B30" s="78"/>
      <c r="C30" s="23"/>
      <c r="D30" s="27">
        <f>IFERROR(VLOOKUP(A30,[1]!TablaMateriales[#Data],2,FALSE),0)</f>
        <v>0</v>
      </c>
      <c r="E30" s="25">
        <f t="shared" si="1"/>
        <v>0</v>
      </c>
      <c r="F30" s="281"/>
    </row>
    <row r="31" spans="1:6" x14ac:dyDescent="0.35">
      <c r="A31" s="30"/>
      <c r="B31" s="78"/>
      <c r="C31" s="23"/>
      <c r="D31" s="27">
        <f>IFERROR(VLOOKUP(A31,[1]!TablaMateriales[#Data],2,FALSE),0)</f>
        <v>0</v>
      </c>
      <c r="E31" s="25">
        <f t="shared" si="1"/>
        <v>0</v>
      </c>
      <c r="F31" s="281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5">
        <f t="shared" si="1"/>
        <v>0</v>
      </c>
      <c r="F32" s="281"/>
    </row>
    <row r="33" spans="1:6" x14ac:dyDescent="0.35">
      <c r="A33" s="30"/>
      <c r="B33" s="78"/>
      <c r="C33" s="23"/>
      <c r="D33" s="27">
        <f>IFERROR(VLOOKUP(A33,[1]!TablaMateriales[#Data],2,FALSE),0)</f>
        <v>0</v>
      </c>
      <c r="E33" s="25">
        <f t="shared" si="1"/>
        <v>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2013500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12</v>
      </c>
      <c r="D43" s="39">
        <f>'tabla salarial'!AS4</f>
        <v>555393.74067333317</v>
      </c>
      <c r="E43" s="37">
        <f>B43*C43*D43</f>
        <v>6664724.8880799981</v>
      </c>
      <c r="F43" s="281"/>
    </row>
    <row r="44" spans="1:6" x14ac:dyDescent="0.35">
      <c r="A44" s="107" t="s">
        <v>273</v>
      </c>
      <c r="B44" s="20">
        <v>1</v>
      </c>
      <c r="C44" s="40">
        <v>12</v>
      </c>
      <c r="D44" s="39">
        <f>'tabla salarial'!AS4</f>
        <v>555393.74067333317</v>
      </c>
      <c r="E44" s="21">
        <f t="shared" ref="E44:E50" si="2">B44*C44*D44</f>
        <v>6664724.8880799981</v>
      </c>
      <c r="F44" s="281"/>
    </row>
    <row r="45" spans="1:6" x14ac:dyDescent="0.35">
      <c r="A45" s="107" t="s">
        <v>277</v>
      </c>
      <c r="B45" s="20">
        <v>1</v>
      </c>
      <c r="C45" s="35"/>
      <c r="D45" s="39">
        <f>'tabla salarial'!AS4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>
        <v>1.5</v>
      </c>
      <c r="C46" s="35"/>
      <c r="D46" s="39">
        <f>'tabla salarial'!AS6</f>
        <v>407197.80492666672</v>
      </c>
      <c r="E46" s="21">
        <f>B46*C46*D46</f>
        <v>0</v>
      </c>
      <c r="F46" s="281"/>
    </row>
    <row r="47" spans="1:6" x14ac:dyDescent="0.35">
      <c r="A47" s="107" t="s">
        <v>476</v>
      </c>
      <c r="B47" s="20">
        <v>2</v>
      </c>
      <c r="C47" s="35">
        <v>8.4600000000000009</v>
      </c>
      <c r="D47" s="39">
        <f>'tabla salarial'!AS7</f>
        <v>371571.3297066667</v>
      </c>
      <c r="E47" s="21">
        <f>B47*C47*D47</f>
        <v>6286986.8986368012</v>
      </c>
      <c r="F47" s="281"/>
    </row>
    <row r="48" spans="1:6" x14ac:dyDescent="0.35">
      <c r="A48" s="107" t="s">
        <v>274</v>
      </c>
      <c r="B48" s="20">
        <v>1</v>
      </c>
      <c r="C48" s="35">
        <v>12</v>
      </c>
      <c r="D48" s="39">
        <f>'tabla salarial'!AS7</f>
        <v>371571.3297066667</v>
      </c>
      <c r="E48" s="21">
        <f t="shared" si="2"/>
        <v>4458855.9564800002</v>
      </c>
      <c r="F48" s="281"/>
    </row>
    <row r="49" spans="1:6" x14ac:dyDescent="0.35">
      <c r="A49" s="107" t="s">
        <v>223</v>
      </c>
      <c r="B49" s="20">
        <v>1</v>
      </c>
      <c r="C49" s="35">
        <v>12</v>
      </c>
      <c r="D49" s="39">
        <f>'tabla salarial'!AS8</f>
        <v>355821.87609999999</v>
      </c>
      <c r="E49" s="21">
        <f>B49*C49*D49</f>
        <v>4269862.5131999999</v>
      </c>
      <c r="F49" s="281"/>
    </row>
    <row r="50" spans="1:6" x14ac:dyDescent="0.35">
      <c r="A50" s="107" t="s">
        <v>275</v>
      </c>
      <c r="B50" s="20"/>
      <c r="C50" s="40"/>
      <c r="D50" s="39">
        <f>'tabla salarial'!AS9</f>
        <v>382109.06042666658</v>
      </c>
      <c r="E50" s="21">
        <f t="shared" si="2"/>
        <v>0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28345155.144476797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08">
        <v>2</v>
      </c>
      <c r="D53" s="108">
        <f>IFERROR(VLOOKUP(A53,[1]!TablaTransporte[#Data],2,FALSE),0)</f>
        <v>550000</v>
      </c>
      <c r="E53" s="110">
        <f>B53*C53*D53</f>
        <v>1100000</v>
      </c>
      <c r="F53" s="284"/>
    </row>
    <row r="54" spans="1:6" x14ac:dyDescent="0.35">
      <c r="A54" s="108" t="s">
        <v>381</v>
      </c>
      <c r="B54" s="108">
        <v>1</v>
      </c>
      <c r="C54" s="108">
        <v>7</v>
      </c>
      <c r="D54" s="108">
        <f>IFERROR(VLOOKUP(A54,[1]!TablaTransporte[#Data],2,FALSE),0)</f>
        <v>600000</v>
      </c>
      <c r="E54" s="108">
        <f>B54*C54*D54</f>
        <v>4200000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4200000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37100655.144476801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37100655.144476801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37100655.144476801</v>
      </c>
    </row>
    <row r="63" spans="1:6" x14ac:dyDescent="0.35">
      <c r="F63" s="224">
        <f>F62/F3</f>
        <v>84704.692110677628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3">
    <dataValidation type="list" allowBlank="1" showInputMessage="1" showErrorMessage="1" sqref="A24:A41" xr:uid="{8645BAFB-C03E-453D-BD2F-9A50171EBB19}">
      <formula1>ListaMateriales</formula1>
    </dataValidation>
    <dataValidation type="list" allowBlank="1" showInputMessage="1" showErrorMessage="1" sqref="A3:A22" xr:uid="{0ACD5B95-8E07-4F10-8F21-DF158D5F61B0}">
      <formula1>ListaEquipos</formula1>
    </dataValidation>
    <dataValidation type="list" allowBlank="1" showInputMessage="1" showErrorMessage="1" sqref="A53:A56" xr:uid="{19CAB376-31D3-42C0-ACBD-0E6E6E3CC98D}">
      <formula1>ListaTransporte</formula1>
    </dataValidation>
  </dataValidation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B45B-387F-469B-A353-BE9565BD3507}">
  <sheetPr>
    <tabColor rgb="FF00B050"/>
  </sheetPr>
  <dimension ref="A1:F63"/>
  <sheetViews>
    <sheetView topLeftCell="A52" workbookViewId="0">
      <selection activeCell="F63" sqref="F63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195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ACTUALIZADO'!C41</f>
        <v>ML</v>
      </c>
    </row>
    <row r="3" spans="1:6" x14ac:dyDescent="0.35">
      <c r="A3" s="33"/>
      <c r="B3" s="34"/>
      <c r="C3" s="45"/>
      <c r="D3" s="46"/>
      <c r="E3" s="37"/>
      <c r="F3" s="77">
        <f>'RESUMEN ACTUALIZADO'!D41</f>
        <v>122</v>
      </c>
    </row>
    <row r="4" spans="1:6" x14ac:dyDescent="0.35">
      <c r="A4" s="24" t="s">
        <v>382</v>
      </c>
      <c r="B4" s="22">
        <v>2</v>
      </c>
      <c r="C4" s="23">
        <v>7</v>
      </c>
      <c r="D4" s="24">
        <f>IFERROR(VLOOKUP(A4,[1]!TablaEquipos[#Data],2,FALSE),0)</f>
        <v>700</v>
      </c>
      <c r="E4" s="25">
        <f t="shared" ref="E4:E11" si="0">B4*C4*D4</f>
        <v>9800</v>
      </c>
      <c r="F4" s="310"/>
    </row>
    <row r="5" spans="1:6" x14ac:dyDescent="0.35">
      <c r="A5" s="26" t="s">
        <v>252</v>
      </c>
      <c r="B5" s="22">
        <v>2</v>
      </c>
      <c r="C5" s="23">
        <v>7</v>
      </c>
      <c r="D5" s="24">
        <f>IFERROR(VLOOKUP(A5,[1]!TablaEquipos[#Data],2,FALSE),0)</f>
        <v>700</v>
      </c>
      <c r="E5" s="25">
        <f t="shared" si="0"/>
        <v>9800</v>
      </c>
      <c r="F5" s="310"/>
    </row>
    <row r="6" spans="1:6" x14ac:dyDescent="0.35">
      <c r="A6" s="26" t="s">
        <v>457</v>
      </c>
      <c r="B6" s="22">
        <v>2</v>
      </c>
      <c r="C6" s="23">
        <v>7</v>
      </c>
      <c r="D6" s="24">
        <f>IFERROR(VLOOKUP(A6,[1]!TablaEquipos[#Data],2,FALSE),0)</f>
        <v>700</v>
      </c>
      <c r="E6" s="25">
        <f t="shared" si="0"/>
        <v>9800</v>
      </c>
      <c r="F6" s="310"/>
    </row>
    <row r="7" spans="1:6" x14ac:dyDescent="0.35">
      <c r="A7" s="24" t="s">
        <v>479</v>
      </c>
      <c r="B7" s="22">
        <v>1</v>
      </c>
      <c r="C7" s="23">
        <v>7</v>
      </c>
      <c r="D7" s="24">
        <f>IFERROR(VLOOKUP(A7,[1]!TablaEquipos[#Data],2,FALSE),0)</f>
        <v>1500</v>
      </c>
      <c r="E7" s="25">
        <f t="shared" si="0"/>
        <v>10500</v>
      </c>
      <c r="F7" s="310"/>
    </row>
    <row r="8" spans="1:6" x14ac:dyDescent="0.35">
      <c r="A8" s="26" t="s">
        <v>631</v>
      </c>
      <c r="B8" s="22">
        <v>3</v>
      </c>
      <c r="C8" s="23">
        <v>7</v>
      </c>
      <c r="D8" s="24">
        <f>IFERROR(VLOOKUP(A8,[1]!TablaEquipos[#Data],2,FALSE),0)</f>
        <v>1500</v>
      </c>
      <c r="E8" s="25">
        <f t="shared" si="0"/>
        <v>31500</v>
      </c>
      <c r="F8" s="310"/>
    </row>
    <row r="9" spans="1:6" x14ac:dyDescent="0.35">
      <c r="A9" s="24" t="s">
        <v>448</v>
      </c>
      <c r="B9" s="22">
        <v>2</v>
      </c>
      <c r="C9" s="23">
        <v>7</v>
      </c>
      <c r="D9" s="24">
        <f>IFERROR(VLOOKUP(A9,[1]!TablaEquipos[#Data],2,FALSE),0)</f>
        <v>700</v>
      </c>
      <c r="E9" s="25">
        <f t="shared" si="0"/>
        <v>9800</v>
      </c>
      <c r="F9" s="310"/>
    </row>
    <row r="10" spans="1:6" x14ac:dyDescent="0.35">
      <c r="A10" s="81" t="s">
        <v>432</v>
      </c>
      <c r="B10" s="82">
        <v>1</v>
      </c>
      <c r="C10" s="23">
        <v>7</v>
      </c>
      <c r="D10" s="24">
        <f>IFERROR(VLOOKUP(A10,[1]!TablaEquipos[#Data],2,FALSE),0)</f>
        <v>500</v>
      </c>
      <c r="E10" s="83">
        <f t="shared" si="0"/>
        <v>3500</v>
      </c>
      <c r="F10" s="310"/>
    </row>
    <row r="11" spans="1:6" x14ac:dyDescent="0.35">
      <c r="A11" s="24"/>
      <c r="B11" s="22"/>
      <c r="C11" s="23"/>
      <c r="D11" s="24">
        <f>IFERROR(VLOOKUP(A11,[1]!TablaEquipos[#Data],2,FALSE),0)</f>
        <v>0</v>
      </c>
      <c r="E11" s="25">
        <f t="shared" si="0"/>
        <v>0</v>
      </c>
      <c r="F11" s="310"/>
    </row>
    <row r="12" spans="1:6" x14ac:dyDescent="0.35">
      <c r="A12" s="24" t="s">
        <v>632</v>
      </c>
      <c r="B12" s="22">
        <v>1</v>
      </c>
      <c r="C12" s="23">
        <v>7</v>
      </c>
      <c r="D12" s="24">
        <f>IFERROR(VLOOKUP(A12,[1]!TablaEquipos[#Data],2,FALSE),0)</f>
        <v>700</v>
      </c>
      <c r="E12" s="25">
        <f>B12*D12</f>
        <v>700</v>
      </c>
      <c r="F12" s="310"/>
    </row>
    <row r="13" spans="1:6" x14ac:dyDescent="0.35">
      <c r="A13" s="24" t="s">
        <v>337</v>
      </c>
      <c r="B13" s="22">
        <v>4</v>
      </c>
      <c r="C13" s="23">
        <v>7</v>
      </c>
      <c r="D13" s="24">
        <f>IFERROR(VLOOKUP(A13,[1]!TablaEquipos[#Data],2,FALSE),0)</f>
        <v>500</v>
      </c>
      <c r="E13" s="25">
        <f>B13*C13*D13</f>
        <v>14000</v>
      </c>
      <c r="F13" s="310"/>
    </row>
    <row r="14" spans="1:6" x14ac:dyDescent="0.35">
      <c r="A14" s="24" t="s">
        <v>459</v>
      </c>
      <c r="B14" s="22">
        <v>1</v>
      </c>
      <c r="C14" s="23">
        <v>7</v>
      </c>
      <c r="D14" s="24">
        <f>IFERROR(VLOOKUP(A14,[1]!TablaEquipos[#Data],2,FALSE),0)</f>
        <v>60000</v>
      </c>
      <c r="E14" s="25">
        <f>B14*C14*D14</f>
        <v>420000</v>
      </c>
      <c r="F14" s="310"/>
    </row>
    <row r="15" spans="1:6" x14ac:dyDescent="0.35">
      <c r="A15" s="24" t="s">
        <v>249</v>
      </c>
      <c r="B15" s="22">
        <v>1</v>
      </c>
      <c r="C15" s="23">
        <v>7</v>
      </c>
      <c r="D15" s="24">
        <f>IFERROR(VLOOKUP(A15,[1]!TablaEquipos[#Data],2,FALSE),0)</f>
        <v>40000</v>
      </c>
      <c r="E15" s="25">
        <f>B15*C15*D15</f>
        <v>280000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799400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453</v>
      </c>
      <c r="B24" s="22">
        <v>122</v>
      </c>
      <c r="C24" s="29"/>
      <c r="D24" s="27">
        <f>IFERROR(VLOOKUP(A24,[1]!TablaMateriales[#Data],2,FALSE),0)</f>
        <v>35600</v>
      </c>
      <c r="E24" s="25">
        <f>B24*D24</f>
        <v>4343200</v>
      </c>
      <c r="F24" s="281"/>
    </row>
    <row r="25" spans="1:6" x14ac:dyDescent="0.35">
      <c r="A25" s="30" t="s">
        <v>503</v>
      </c>
      <c r="B25" s="22">
        <v>20</v>
      </c>
      <c r="C25" s="29"/>
      <c r="D25" s="27">
        <f>IFERROR(VLOOKUP(A25,[1]!TablaMateriales[#Data],2,FALSE),0)</f>
        <v>22000</v>
      </c>
      <c r="E25" s="25">
        <f>B25*D25</f>
        <v>440000</v>
      </c>
      <c r="F25" s="281"/>
    </row>
    <row r="26" spans="1:6" x14ac:dyDescent="0.35">
      <c r="A26" s="30" t="s">
        <v>504</v>
      </c>
      <c r="B26" s="22">
        <v>2</v>
      </c>
      <c r="C26" s="29"/>
      <c r="D26" s="27">
        <f>IFERROR(VLOOKUP(A26,[1]!TablaMateriales[#Data],2,FALSE),0)</f>
        <v>74000</v>
      </c>
      <c r="E26" s="25">
        <f>B26*D26</f>
        <v>148000</v>
      </c>
      <c r="F26" s="281"/>
    </row>
    <row r="27" spans="1:6" x14ac:dyDescent="0.35">
      <c r="A27" s="30" t="s">
        <v>505</v>
      </c>
      <c r="B27" s="22">
        <v>2</v>
      </c>
      <c r="C27" s="29"/>
      <c r="D27" s="27">
        <f>IFERROR(VLOOKUP(A27,[1]!TablaMateriales[#Data],2,FALSE),0)</f>
        <v>40000</v>
      </c>
      <c r="E27" s="25">
        <f>B27*D27</f>
        <v>80000</v>
      </c>
      <c r="F27" s="281"/>
    </row>
    <row r="28" spans="1:6" x14ac:dyDescent="0.35">
      <c r="A28" s="30" t="s">
        <v>455</v>
      </c>
      <c r="B28" s="78">
        <v>10</v>
      </c>
      <c r="C28" s="23"/>
      <c r="D28" s="27">
        <f>IFERROR(VLOOKUP(A28,[1]!TablaMateriales[#Data],2,FALSE),0)</f>
        <v>38000</v>
      </c>
      <c r="E28" s="25">
        <f>B28*D28</f>
        <v>380000</v>
      </c>
      <c r="F28" s="281"/>
    </row>
    <row r="29" spans="1:6" x14ac:dyDescent="0.35">
      <c r="A29" s="30" t="s">
        <v>427</v>
      </c>
      <c r="B29" s="78">
        <v>2</v>
      </c>
      <c r="C29" s="23"/>
      <c r="D29" s="27">
        <f>IFERROR(VLOOKUP(A29,[1]!TablaMateriales[#Data],2,FALSE),0)</f>
        <v>31000</v>
      </c>
      <c r="E29" s="25">
        <f t="shared" ref="E29:E35" si="1">B29*D29</f>
        <v>62000</v>
      </c>
      <c r="F29" s="281"/>
    </row>
    <row r="30" spans="1:6" x14ac:dyDescent="0.35">
      <c r="A30" s="30" t="s">
        <v>387</v>
      </c>
      <c r="B30" s="78">
        <v>1</v>
      </c>
      <c r="C30" s="23"/>
      <c r="D30" s="27">
        <f>IFERROR(VLOOKUP(A30,[1]!TablaMateriales[#Data],2,FALSE),0)</f>
        <v>6000</v>
      </c>
      <c r="E30" s="25">
        <f t="shared" si="1"/>
        <v>6000</v>
      </c>
      <c r="F30" s="281"/>
    </row>
    <row r="31" spans="1:6" x14ac:dyDescent="0.35">
      <c r="A31" s="30" t="s">
        <v>506</v>
      </c>
      <c r="B31" s="78">
        <v>3</v>
      </c>
      <c r="C31" s="23"/>
      <c r="D31" s="27">
        <f>IFERROR(VLOOKUP(A31,[1]!TablaMateriales[#Data],2,FALSE),0)</f>
        <v>8500</v>
      </c>
      <c r="E31" s="25">
        <f t="shared" si="1"/>
        <v>25500</v>
      </c>
      <c r="F31" s="281"/>
    </row>
    <row r="32" spans="1:6" x14ac:dyDescent="0.35">
      <c r="A32" s="79" t="s">
        <v>493</v>
      </c>
      <c r="B32" s="78">
        <v>7</v>
      </c>
      <c r="C32" s="23"/>
      <c r="D32" s="27">
        <f>IFERROR(VLOOKUP(A32,[1]!TablaMateriales[#Data],2,FALSE),0)</f>
        <v>31000</v>
      </c>
      <c r="E32" s="25">
        <f t="shared" si="1"/>
        <v>217000</v>
      </c>
      <c r="F32" s="281"/>
    </row>
    <row r="33" spans="1:6" x14ac:dyDescent="0.35">
      <c r="A33" s="30" t="s">
        <v>633</v>
      </c>
      <c r="B33" s="78">
        <v>2</v>
      </c>
      <c r="C33" s="23"/>
      <c r="D33" s="27">
        <f>IFERROR(VLOOKUP(A33,[1]!TablaMateriales[#Data],2,FALSE),0)</f>
        <v>6500</v>
      </c>
      <c r="E33" s="25">
        <f t="shared" si="1"/>
        <v>13000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5714700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1.69</v>
      </c>
      <c r="D43" s="39">
        <f>IFERROR(VLOOKUP(A43,[1]!Tabla8[#Data],3,FALSE),0)</f>
        <v>555393.74067333317</v>
      </c>
      <c r="E43" s="37">
        <f>B43*C43*D43</f>
        <v>938615.42173793307</v>
      </c>
      <c r="F43" s="281"/>
    </row>
    <row r="44" spans="1:6" x14ac:dyDescent="0.35">
      <c r="A44" s="107" t="s">
        <v>273</v>
      </c>
      <c r="B44" s="20">
        <v>1</v>
      </c>
      <c r="C44" s="40">
        <v>1.69</v>
      </c>
      <c r="D44" s="39">
        <f>IFERROR(VLOOKUP(A44,[1]!Tabla8[#Data],3,FALSE),0)</f>
        <v>555393.74067333317</v>
      </c>
      <c r="E44" s="21">
        <f t="shared" ref="E44:E50" si="2">B44*C44*D44</f>
        <v>938615.42173793307</v>
      </c>
      <c r="F44" s="281"/>
    </row>
    <row r="45" spans="1:6" x14ac:dyDescent="0.35">
      <c r="A45" s="107" t="s">
        <v>277</v>
      </c>
      <c r="B45" s="20"/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/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/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>
        <v>10.8</v>
      </c>
      <c r="D48" s="39">
        <f>IFERROR(VLOOKUP(A48,[1]!Tabla8[#Data],3,FALSE),0)</f>
        <v>371571.3297066667</v>
      </c>
      <c r="E48" s="21">
        <f t="shared" si="2"/>
        <v>4012970.3608320006</v>
      </c>
      <c r="F48" s="281"/>
    </row>
    <row r="49" spans="1:6" x14ac:dyDescent="0.35">
      <c r="A49" s="107" t="s">
        <v>223</v>
      </c>
      <c r="B49" s="20">
        <v>1</v>
      </c>
      <c r="C49" s="35">
        <v>1.69</v>
      </c>
      <c r="D49" s="39">
        <f>IFERROR(VLOOKUP(A49,[1]!Tabla8[#Data],3,FALSE),0)</f>
        <v>355821.87609999999</v>
      </c>
      <c r="E49" s="21">
        <f>B49*C49*D49</f>
        <v>601338.97060899995</v>
      </c>
      <c r="F49" s="281"/>
    </row>
    <row r="50" spans="1:6" x14ac:dyDescent="0.35">
      <c r="A50" s="107" t="s">
        <v>275</v>
      </c>
      <c r="B50" s="20">
        <v>3</v>
      </c>
      <c r="C50" s="40">
        <v>10.8</v>
      </c>
      <c r="D50" s="39">
        <f>IFERROR(VLOOKUP(A50,[1]!Tabla8[#Data],3,FALSE),0)</f>
        <v>382109.06042666658</v>
      </c>
      <c r="E50" s="21">
        <f t="shared" si="2"/>
        <v>12380333.557823999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18871873.732740864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66">
        <v>0.5</v>
      </c>
      <c r="D53" s="108">
        <f>IFERROR(VLOOKUP(A53,[1]!TablaTransporte[#Data],2,FALSE),0)</f>
        <v>550000</v>
      </c>
      <c r="E53" s="110">
        <f>B53*C53*D53</f>
        <v>275000</v>
      </c>
      <c r="F53" s="284"/>
    </row>
    <row r="54" spans="1:6" x14ac:dyDescent="0.35">
      <c r="A54" s="108" t="s">
        <v>299</v>
      </c>
      <c r="B54" s="108">
        <v>1</v>
      </c>
      <c r="C54" s="166">
        <v>1</v>
      </c>
      <c r="D54" s="108">
        <f>IFERROR(VLOOKUP(A54,[1]!TablaTransporte[#Data],2,FALSE),0)</f>
        <v>1330000</v>
      </c>
      <c r="E54" s="108">
        <f>B54*C54*D54</f>
        <v>1330000</v>
      </c>
      <c r="F54" s="284"/>
    </row>
    <row r="55" spans="1:6" x14ac:dyDescent="0.35">
      <c r="A55" s="108" t="s">
        <v>381</v>
      </c>
      <c r="B55" s="108">
        <v>1</v>
      </c>
      <c r="C55" s="166">
        <v>0.5</v>
      </c>
      <c r="D55" s="108">
        <f>IFERROR(VLOOKUP(A55,[1]!TablaTransporte[#Data],2,FALSE),0)</f>
        <v>600000</v>
      </c>
      <c r="E55" s="108">
        <f>B55*C55*D55</f>
        <v>300000</v>
      </c>
      <c r="F55" s="284"/>
    </row>
    <row r="56" spans="1:6" x14ac:dyDescent="0.35">
      <c r="A56" s="108" t="s">
        <v>295</v>
      </c>
      <c r="B56" s="108">
        <v>1</v>
      </c>
      <c r="C56" s="166">
        <v>0.3</v>
      </c>
      <c r="D56" s="108">
        <f>IFERROR(VLOOKUP(A56,[1]!TablaTransporte[#Data],2,FALSE),0)</f>
        <v>1250000</v>
      </c>
      <c r="E56" s="108">
        <f>B56*C56*D56</f>
        <v>375000</v>
      </c>
      <c r="F56" s="285"/>
    </row>
    <row r="57" spans="1:6" x14ac:dyDescent="0.35">
      <c r="A57" s="43"/>
      <c r="B57" s="43"/>
      <c r="C57" s="43"/>
      <c r="D57" s="43"/>
      <c r="E57" s="43"/>
      <c r="F57" s="42">
        <f>E54</f>
        <v>1330000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26715973.732740864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26715973.732740864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26715973.732740864</v>
      </c>
    </row>
    <row r="63" spans="1:6" x14ac:dyDescent="0.35">
      <c r="F63" s="224">
        <f>F62/F3</f>
        <v>218983.3912519743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79BC7CA2-3268-4D3A-A318-975908189241}">
      <formula1>ListaMateriales</formula1>
    </dataValidation>
    <dataValidation type="list" allowBlank="1" showInputMessage="1" showErrorMessage="1" sqref="A3:A22" xr:uid="{BC92043A-4BB7-4FF3-B3ED-2BF5F05F66CF}">
      <formula1>ListaEquipos</formula1>
    </dataValidation>
    <dataValidation type="list" allowBlank="1" showInputMessage="1" showErrorMessage="1" sqref="A53:A56" xr:uid="{FB1A3A83-B3A0-4B36-90EA-3B4682C4C115}">
      <formula1>ListaTransporte</formula1>
    </dataValidation>
    <dataValidation type="list" allowBlank="1" showInputMessage="1" showErrorMessage="1" sqref="A43:A50" xr:uid="{1B1012FF-BE0F-4066-99D5-D932196D6AD5}">
      <formula1>ListaProfesiones</formula1>
    </dataValidation>
  </dataValidation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C6C7-62A0-47E3-803A-F293F053712F}">
  <sheetPr>
    <tabColor rgb="FF00B050"/>
  </sheetPr>
  <dimension ref="A1:H65"/>
  <sheetViews>
    <sheetView workbookViewId="0">
      <selection activeCell="D55" sqref="D55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5" max="5" width="11.453125" bestFit="1" customWidth="1"/>
    <col min="6" max="6" width="13.6328125" bestFit="1" customWidth="1"/>
  </cols>
  <sheetData>
    <row r="1" spans="1:6" x14ac:dyDescent="0.35">
      <c r="A1" s="306" t="s">
        <v>54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ACTUALIZADO'!C42</f>
        <v>M3</v>
      </c>
    </row>
    <row r="3" spans="1:6" x14ac:dyDescent="0.35">
      <c r="A3" s="33"/>
      <c r="B3" s="34"/>
      <c r="C3" s="45"/>
      <c r="D3" s="46"/>
      <c r="E3" s="37"/>
      <c r="F3" s="77">
        <f>'RESUMEN ACTUALIZADO'!D42</f>
        <v>77</v>
      </c>
    </row>
    <row r="4" spans="1:6" x14ac:dyDescent="0.35">
      <c r="A4" s="24" t="s">
        <v>459</v>
      </c>
      <c r="B4" s="22">
        <v>1</v>
      </c>
      <c r="C4" s="23">
        <v>16</v>
      </c>
      <c r="D4" s="24">
        <f>IFERROR(VLOOKUP(A4,[1]!TablaEquipos[#Data],2,FALSE),0)</f>
        <v>60000</v>
      </c>
      <c r="E4" s="25">
        <f t="shared" ref="E4:E12" si="0">B4*C4*D4</f>
        <v>960000</v>
      </c>
      <c r="F4" s="310"/>
    </row>
    <row r="5" spans="1:6" ht="23" x14ac:dyDescent="0.35">
      <c r="A5" s="26" t="s">
        <v>249</v>
      </c>
      <c r="B5" s="22">
        <v>1</v>
      </c>
      <c r="C5" s="23">
        <v>16</v>
      </c>
      <c r="D5" s="24">
        <f>IFERROR(VLOOKUP(A5,[1]!TablaEquipos[#Data],2,FALSE),0)</f>
        <v>40000</v>
      </c>
      <c r="E5" s="25">
        <f t="shared" si="0"/>
        <v>640000</v>
      </c>
      <c r="F5" s="310"/>
    </row>
    <row r="6" spans="1:6" x14ac:dyDescent="0.35">
      <c r="A6" s="26" t="s">
        <v>229</v>
      </c>
      <c r="B6" s="22">
        <v>6</v>
      </c>
      <c r="C6" s="23">
        <v>16</v>
      </c>
      <c r="D6" s="24">
        <f>IFERROR(VLOOKUP(A6,[1]!TablaEquipos[#Data],2,FALSE),0)</f>
        <v>1500</v>
      </c>
      <c r="E6" s="25">
        <f t="shared" si="0"/>
        <v>144000</v>
      </c>
      <c r="F6" s="310"/>
    </row>
    <row r="7" spans="1:6" x14ac:dyDescent="0.35">
      <c r="A7" s="24" t="s">
        <v>337</v>
      </c>
      <c r="B7" s="22">
        <v>15</v>
      </c>
      <c r="C7" s="23">
        <v>16</v>
      </c>
      <c r="D7" s="24">
        <f>IFERROR(VLOOKUP(A7,[1]!TablaEquipos[#Data],2,FALSE),0)</f>
        <v>500</v>
      </c>
      <c r="E7" s="25">
        <f t="shared" si="0"/>
        <v>120000</v>
      </c>
      <c r="F7" s="310"/>
    </row>
    <row r="8" spans="1:6" x14ac:dyDescent="0.35">
      <c r="A8" s="26" t="s">
        <v>382</v>
      </c>
      <c r="B8" s="22">
        <v>8</v>
      </c>
      <c r="C8" s="23">
        <v>16</v>
      </c>
      <c r="D8" s="24">
        <f>IFERROR(VLOOKUP(A8,[1]!TablaEquipos[#Data],2,FALSE),0)</f>
        <v>700</v>
      </c>
      <c r="E8" s="25">
        <f t="shared" si="0"/>
        <v>89600</v>
      </c>
      <c r="F8" s="310"/>
    </row>
    <row r="9" spans="1:6" x14ac:dyDescent="0.35">
      <c r="A9" s="24" t="s">
        <v>473</v>
      </c>
      <c r="B9" s="22">
        <v>1</v>
      </c>
      <c r="C9" s="23">
        <v>16</v>
      </c>
      <c r="D9" s="24">
        <f>IFERROR(VLOOKUP(A9,[1]!TablaEquipos[#Data],2,FALSE),0)</f>
        <v>50000</v>
      </c>
      <c r="E9" s="25">
        <f t="shared" si="0"/>
        <v>800000</v>
      </c>
      <c r="F9" s="310"/>
    </row>
    <row r="10" spans="1:6" x14ac:dyDescent="0.35">
      <c r="A10" s="81" t="s">
        <v>458</v>
      </c>
      <c r="B10" s="82">
        <v>4</v>
      </c>
      <c r="C10" s="23">
        <v>16</v>
      </c>
      <c r="D10" s="81">
        <f>IFERROR(VLOOKUP(A10,[1]!TablaEquipos[#Data],2,FALSE),0)</f>
        <v>700</v>
      </c>
      <c r="E10" s="83">
        <f t="shared" si="0"/>
        <v>44800</v>
      </c>
      <c r="F10" s="310"/>
    </row>
    <row r="11" spans="1:6" x14ac:dyDescent="0.35">
      <c r="A11" s="24" t="s">
        <v>435</v>
      </c>
      <c r="B11" s="22">
        <v>4</v>
      </c>
      <c r="C11" s="23">
        <v>16</v>
      </c>
      <c r="D11" s="24">
        <f>IFERROR(VLOOKUP(A11,[1]!TablaEquipos[#Data],2,FALSE),0)</f>
        <v>700</v>
      </c>
      <c r="E11" s="25">
        <f t="shared" si="0"/>
        <v>44800</v>
      </c>
      <c r="F11" s="310"/>
    </row>
    <row r="12" spans="1:6" x14ac:dyDescent="0.35">
      <c r="A12" s="24" t="s">
        <v>491</v>
      </c>
      <c r="B12" s="22">
        <v>6</v>
      </c>
      <c r="C12" s="23">
        <v>16</v>
      </c>
      <c r="D12" s="24">
        <f>IFERROR(VLOOKUP(A12,[1]!TablaEquipos[#Data],2,FALSE),0)</f>
        <v>3000</v>
      </c>
      <c r="E12" s="25">
        <f t="shared" si="0"/>
        <v>288000</v>
      </c>
      <c r="F12" s="310"/>
    </row>
    <row r="13" spans="1:6" x14ac:dyDescent="0.35">
      <c r="A13" s="24" t="s">
        <v>226</v>
      </c>
      <c r="B13" s="22">
        <v>2</v>
      </c>
      <c r="C13" s="23">
        <v>16</v>
      </c>
      <c r="D13" s="24">
        <f>IFERROR(VLOOKUP(A13,[1]!TablaEquipos[#Data],2,FALSE),0)</f>
        <v>700</v>
      </c>
      <c r="E13" s="25">
        <f t="shared" ref="E13:E21" si="1">B13*C13*D13</f>
        <v>22400</v>
      </c>
      <c r="F13" s="310"/>
    </row>
    <row r="14" spans="1:6" x14ac:dyDescent="0.35">
      <c r="A14" s="24" t="s">
        <v>230</v>
      </c>
      <c r="B14" s="22">
        <v>1</v>
      </c>
      <c r="C14" s="23">
        <v>16</v>
      </c>
      <c r="D14" s="24">
        <f>IFERROR(VLOOKUP(A14,[1]!TablaEquipos[#Data],2,FALSE),0)</f>
        <v>15000</v>
      </c>
      <c r="E14" s="25">
        <f t="shared" si="1"/>
        <v>240000</v>
      </c>
      <c r="F14" s="310"/>
    </row>
    <row r="15" spans="1:6" x14ac:dyDescent="0.35">
      <c r="A15" s="24" t="s">
        <v>393</v>
      </c>
      <c r="B15" s="22">
        <v>3</v>
      </c>
      <c r="C15" s="23">
        <v>16</v>
      </c>
      <c r="D15" s="24">
        <f>IFERROR(VLOOKUP(A15,[1]!TablaEquipos[#Data],2,FALSE),0)</f>
        <v>15000</v>
      </c>
      <c r="E15" s="25">
        <f t="shared" si="1"/>
        <v>720000</v>
      </c>
      <c r="F15" s="310"/>
    </row>
    <row r="16" spans="1:6" x14ac:dyDescent="0.35">
      <c r="A16" s="24" t="s">
        <v>431</v>
      </c>
      <c r="B16" s="22">
        <v>2</v>
      </c>
      <c r="C16" s="23">
        <v>16</v>
      </c>
      <c r="D16" s="24">
        <f>IFERROR(VLOOKUP(A16,[1]!TablaEquipos[#Data],2,FALSE),0)</f>
        <v>1000</v>
      </c>
      <c r="E16" s="25">
        <f t="shared" si="1"/>
        <v>32000</v>
      </c>
      <c r="F16" s="310"/>
    </row>
    <row r="17" spans="1:6" x14ac:dyDescent="0.35">
      <c r="A17" s="24" t="s">
        <v>432</v>
      </c>
      <c r="B17" s="22">
        <v>2</v>
      </c>
      <c r="C17" s="23">
        <v>16</v>
      </c>
      <c r="D17" s="24">
        <f>IFERROR(VLOOKUP(A17,[1]!TablaEquipos[#Data],2,FALSE),0)</f>
        <v>500</v>
      </c>
      <c r="E17" s="25">
        <f t="shared" si="1"/>
        <v>16000</v>
      </c>
      <c r="F17" s="310"/>
    </row>
    <row r="18" spans="1:6" x14ac:dyDescent="0.35">
      <c r="A18" s="24" t="s">
        <v>460</v>
      </c>
      <c r="B18" s="22">
        <v>1</v>
      </c>
      <c r="C18" s="23">
        <v>16</v>
      </c>
      <c r="D18" s="24">
        <f>IFERROR(VLOOKUP(A18,[1]!TablaEquipos[#Data],2,FALSE),0)</f>
        <v>30000</v>
      </c>
      <c r="E18" s="25">
        <f t="shared" si="1"/>
        <v>480000</v>
      </c>
      <c r="F18" s="310"/>
    </row>
    <row r="19" spans="1:6" x14ac:dyDescent="0.35">
      <c r="A19" s="24" t="s">
        <v>638</v>
      </c>
      <c r="B19" s="22">
        <v>2</v>
      </c>
      <c r="C19" s="23">
        <v>16</v>
      </c>
      <c r="D19" s="24">
        <f>IFERROR(VLOOKUP(A19,[1]!TablaEquipos[#Data],2,FALSE),0)</f>
        <v>3000</v>
      </c>
      <c r="E19" s="25">
        <f t="shared" si="1"/>
        <v>96000</v>
      </c>
      <c r="F19" s="310"/>
    </row>
    <row r="20" spans="1:6" x14ac:dyDescent="0.35">
      <c r="A20" s="24" t="s">
        <v>639</v>
      </c>
      <c r="B20" s="22">
        <v>4</v>
      </c>
      <c r="C20" s="23">
        <v>16</v>
      </c>
      <c r="D20" s="24">
        <f>IFERROR(VLOOKUP(A20,[1]!TablaEquipos[#Data],2,FALSE),0)</f>
        <v>2000</v>
      </c>
      <c r="E20" s="25">
        <f t="shared" si="1"/>
        <v>128000</v>
      </c>
      <c r="F20" s="310"/>
    </row>
    <row r="21" spans="1:6" x14ac:dyDescent="0.35">
      <c r="A21" s="24" t="s">
        <v>655</v>
      </c>
      <c r="B21" s="22">
        <v>1</v>
      </c>
      <c r="C21" s="23">
        <v>16</v>
      </c>
      <c r="D21" s="24">
        <f>IFERROR(VLOOKUP(A21,[1]!TablaEquipos[#Data],2,FALSE),0)</f>
        <v>5000</v>
      </c>
      <c r="E21" s="25">
        <f t="shared" si="1"/>
        <v>80000</v>
      </c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4945600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168"/>
    </row>
    <row r="24" spans="1:6" x14ac:dyDescent="0.35">
      <c r="A24" s="24" t="s">
        <v>634</v>
      </c>
      <c r="B24" s="22">
        <v>79</v>
      </c>
      <c r="C24" s="29"/>
      <c r="D24" s="27">
        <f>IFERROR(VLOOKUP(A24,[1]!TablaMateriales[#Data],2,FALSE),0)</f>
        <v>550000</v>
      </c>
      <c r="E24" s="25">
        <f>B24*D24</f>
        <v>43450000</v>
      </c>
      <c r="F24" s="155"/>
    </row>
    <row r="25" spans="1:6" x14ac:dyDescent="0.35">
      <c r="A25" s="30" t="s">
        <v>635</v>
      </c>
      <c r="B25" s="22">
        <v>2</v>
      </c>
      <c r="C25" s="29"/>
      <c r="D25" s="27">
        <f>IFERROR(VLOOKUP(A25,[1]!TablaMateriales[#Data],2,FALSE),0)</f>
        <v>250000</v>
      </c>
      <c r="E25" s="25">
        <f>B25*D25</f>
        <v>500000</v>
      </c>
      <c r="F25" s="155"/>
    </row>
    <row r="26" spans="1:6" x14ac:dyDescent="0.35">
      <c r="A26" s="30" t="s">
        <v>452</v>
      </c>
      <c r="B26" s="22">
        <v>12</v>
      </c>
      <c r="C26" s="29"/>
      <c r="D26" s="27">
        <f>IFERROR(VLOOKUP(A26,[1]!TablaMateriales[#Data],2,FALSE),0)</f>
        <v>45000</v>
      </c>
      <c r="E26" s="25">
        <f>B26*D26</f>
        <v>540000</v>
      </c>
      <c r="F26" s="155"/>
    </row>
    <row r="27" spans="1:6" x14ac:dyDescent="0.35">
      <c r="A27" s="30" t="s">
        <v>455</v>
      </c>
      <c r="B27" s="22">
        <v>50</v>
      </c>
      <c r="C27" s="29"/>
      <c r="D27" s="27">
        <f>IFERROR(VLOOKUP(A27,[1]!TablaMateriales[#Data],2,FALSE),0)</f>
        <v>38000</v>
      </c>
      <c r="E27" s="25">
        <f>B27*D27</f>
        <v>1900000</v>
      </c>
      <c r="F27" s="155"/>
    </row>
    <row r="28" spans="1:6" x14ac:dyDescent="0.35">
      <c r="A28" s="30" t="s">
        <v>427</v>
      </c>
      <c r="B28" s="78">
        <v>7</v>
      </c>
      <c r="C28" s="23"/>
      <c r="D28" s="27">
        <f>IFERROR(VLOOKUP(A28,[1]!TablaMateriales[#Data],2,FALSE),0)</f>
        <v>31000</v>
      </c>
      <c r="E28" s="25">
        <f>B28*D28</f>
        <v>217000</v>
      </c>
      <c r="F28" s="155"/>
    </row>
    <row r="29" spans="1:6" x14ac:dyDescent="0.35">
      <c r="A29" s="30" t="s">
        <v>636</v>
      </c>
      <c r="B29" s="78">
        <v>7</v>
      </c>
      <c r="C29" s="23"/>
      <c r="D29" s="27">
        <f>IFERROR(VLOOKUP(A29,[1]!TablaMateriales[#Data],2,FALSE),0)</f>
        <v>61000</v>
      </c>
      <c r="E29" s="25">
        <f t="shared" ref="E29:E34" si="2">B29*D29</f>
        <v>427000</v>
      </c>
      <c r="F29" s="155"/>
    </row>
    <row r="30" spans="1:6" x14ac:dyDescent="0.35">
      <c r="A30" s="30" t="s">
        <v>387</v>
      </c>
      <c r="B30" s="78">
        <v>10</v>
      </c>
      <c r="C30" s="23"/>
      <c r="D30" s="27">
        <f>IFERROR(VLOOKUP(A30,[1]!TablaMateriales[#Data],2,FALSE),0)</f>
        <v>6000</v>
      </c>
      <c r="E30" s="25">
        <f t="shared" si="2"/>
        <v>60000</v>
      </c>
      <c r="F30" s="155"/>
    </row>
    <row r="31" spans="1:6" x14ac:dyDescent="0.35">
      <c r="A31" s="30" t="s">
        <v>349</v>
      </c>
      <c r="B31" s="78">
        <v>100</v>
      </c>
      <c r="C31" s="23"/>
      <c r="D31" s="27">
        <f>IFERROR(VLOOKUP(A31,[1]!TablaMateriales[#Data],2,FALSE),0)</f>
        <v>30000</v>
      </c>
      <c r="E31" s="25">
        <f t="shared" si="2"/>
        <v>3000000</v>
      </c>
      <c r="F31" s="155"/>
    </row>
    <row r="32" spans="1:6" x14ac:dyDescent="0.35">
      <c r="A32" s="79" t="s">
        <v>254</v>
      </c>
      <c r="B32" s="78">
        <v>140</v>
      </c>
      <c r="C32" s="23"/>
      <c r="D32" s="27">
        <f>IFERROR(VLOOKUP(A32,[1]!TablaMateriales[#Data],2,FALSE),0)</f>
        <v>20000</v>
      </c>
      <c r="E32" s="25">
        <f t="shared" si="2"/>
        <v>2800000</v>
      </c>
      <c r="F32" s="155"/>
    </row>
    <row r="33" spans="1:6" x14ac:dyDescent="0.35">
      <c r="A33" s="30" t="s">
        <v>257</v>
      </c>
      <c r="B33" s="78">
        <v>20</v>
      </c>
      <c r="C33" s="23"/>
      <c r="D33" s="27">
        <f>IFERROR(VLOOKUP(A33,[1]!TablaMateriales[#Data],2,FALSE),0)</f>
        <v>9500</v>
      </c>
      <c r="E33" s="25">
        <f t="shared" si="2"/>
        <v>190000</v>
      </c>
      <c r="F33" s="155"/>
    </row>
    <row r="34" spans="1:6" x14ac:dyDescent="0.35">
      <c r="A34" s="31" t="s">
        <v>308</v>
      </c>
      <c r="B34" s="78">
        <v>50</v>
      </c>
      <c r="C34" s="23"/>
      <c r="D34" s="27">
        <f>IFERROR(VLOOKUP(A34,[1]!TablaMateriales[#Data],2,FALSE),0)</f>
        <v>7592</v>
      </c>
      <c r="E34" s="25">
        <f t="shared" si="2"/>
        <v>379600</v>
      </c>
      <c r="F34" s="155"/>
    </row>
    <row r="35" spans="1:6" ht="23" x14ac:dyDescent="0.35">
      <c r="A35" s="31" t="s">
        <v>637</v>
      </c>
      <c r="B35" s="78">
        <v>60</v>
      </c>
      <c r="C35" s="23"/>
      <c r="D35" s="27">
        <f>IFERROR(VLOOKUP(A35,[1]!TablaMateriales[#Data],2,FALSE),0)</f>
        <v>56000</v>
      </c>
      <c r="E35" s="25">
        <f t="shared" ref="E35:E42" si="3">B35*D35</f>
        <v>3360000</v>
      </c>
      <c r="F35" s="173"/>
    </row>
    <row r="36" spans="1:6" x14ac:dyDescent="0.35">
      <c r="A36" s="31" t="s">
        <v>253</v>
      </c>
      <c r="B36" s="78">
        <v>50</v>
      </c>
      <c r="C36" s="23"/>
      <c r="D36" s="27">
        <f>IFERROR(VLOOKUP(A36,[1]!TablaMateriales[#Data],2,FALSE),0)</f>
        <v>35000</v>
      </c>
      <c r="E36" s="27">
        <f t="shared" si="3"/>
        <v>1750000</v>
      </c>
      <c r="F36" s="173"/>
    </row>
    <row r="37" spans="1:6" x14ac:dyDescent="0.35">
      <c r="A37" s="31" t="s">
        <v>243</v>
      </c>
      <c r="B37" s="78">
        <v>100</v>
      </c>
      <c r="C37" s="23"/>
      <c r="D37" s="27">
        <f>IFERROR(VLOOKUP(A37,[1]!TablaMateriales[#Data],2,FALSE),0)</f>
        <v>9500</v>
      </c>
      <c r="E37" s="27">
        <f t="shared" si="3"/>
        <v>950000</v>
      </c>
      <c r="F37" s="173"/>
    </row>
    <row r="38" spans="1:6" x14ac:dyDescent="0.35">
      <c r="A38" s="31" t="s">
        <v>484</v>
      </c>
      <c r="B38" s="78">
        <v>100</v>
      </c>
      <c r="C38" s="23"/>
      <c r="D38" s="27">
        <f>IFERROR(VLOOKUP(A38,[1]!TablaMateriales[#Data],2,FALSE),0)</f>
        <v>12000</v>
      </c>
      <c r="E38" s="27">
        <f t="shared" si="3"/>
        <v>1200000</v>
      </c>
      <c r="F38" s="173"/>
    </row>
    <row r="39" spans="1:6" x14ac:dyDescent="0.35">
      <c r="A39" s="31" t="s">
        <v>259</v>
      </c>
      <c r="B39" s="78">
        <v>15</v>
      </c>
      <c r="C39" s="23"/>
      <c r="D39" s="27">
        <f>IFERROR(VLOOKUP(A39,[1]!TablaMateriales[#Data],2,FALSE),0)</f>
        <v>15000</v>
      </c>
      <c r="E39" s="27">
        <f t="shared" si="3"/>
        <v>225000</v>
      </c>
      <c r="F39" s="173"/>
    </row>
    <row r="40" spans="1:6" x14ac:dyDescent="0.35">
      <c r="A40" s="31" t="s">
        <v>647</v>
      </c>
      <c r="B40" s="78">
        <v>42</v>
      </c>
      <c r="C40" s="23"/>
      <c r="D40" s="27">
        <f>IFERROR(VLOOKUP(A40,[1]!TablaMateriales[#Data],2,FALSE),0)</f>
        <v>60000</v>
      </c>
      <c r="E40" s="27">
        <f>B40*D40</f>
        <v>2520000</v>
      </c>
      <c r="F40" s="173"/>
    </row>
    <row r="41" spans="1:6" x14ac:dyDescent="0.35">
      <c r="A41" s="31"/>
      <c r="B41" s="78"/>
      <c r="C41" s="23"/>
      <c r="D41" s="27"/>
      <c r="E41" s="27"/>
      <c r="F41" s="173"/>
    </row>
    <row r="42" spans="1:6" ht="15" thickBot="1" x14ac:dyDescent="0.4">
      <c r="A42" s="31" t="s">
        <v>433</v>
      </c>
      <c r="B42" s="78">
        <v>2</v>
      </c>
      <c r="C42" s="23"/>
      <c r="D42" s="27">
        <f>IFERROR(VLOOKUP(A42,[1]!TablaMateriales[#Data],2,FALSE),0)</f>
        <v>25000</v>
      </c>
      <c r="E42" s="27">
        <f t="shared" si="3"/>
        <v>50000</v>
      </c>
      <c r="F42" s="173"/>
    </row>
    <row r="43" spans="1:6" ht="15" thickBot="1" x14ac:dyDescent="0.4">
      <c r="A43" s="296"/>
      <c r="B43" s="297"/>
      <c r="C43" s="297"/>
      <c r="D43" s="297"/>
      <c r="E43" s="298"/>
      <c r="F43" s="28">
        <f>SUM(E24:E42)</f>
        <v>63518600</v>
      </c>
    </row>
    <row r="44" spans="1:6" x14ac:dyDescent="0.35">
      <c r="A44" s="33" t="s">
        <v>88</v>
      </c>
      <c r="B44" s="34" t="s">
        <v>83</v>
      </c>
      <c r="C44" s="35" t="s">
        <v>84</v>
      </c>
      <c r="D44" s="36" t="s">
        <v>89</v>
      </c>
      <c r="E44" s="37" t="s">
        <v>86</v>
      </c>
      <c r="F44" s="280"/>
    </row>
    <row r="45" spans="1:6" x14ac:dyDescent="0.35">
      <c r="A45" s="38" t="s">
        <v>596</v>
      </c>
      <c r="B45" s="34">
        <v>1</v>
      </c>
      <c r="C45" s="35">
        <v>19</v>
      </c>
      <c r="D45" s="39">
        <f>IFERROR(VLOOKUP(A45,[1]!Tabla8[#Data],3,FALSE),0)</f>
        <v>555393.74067333317</v>
      </c>
      <c r="E45" s="37">
        <f>B45*C45*D45</f>
        <v>10552481.072793331</v>
      </c>
      <c r="F45" s="281"/>
    </row>
    <row r="46" spans="1:6" x14ac:dyDescent="0.35">
      <c r="A46" s="107" t="s">
        <v>646</v>
      </c>
      <c r="B46" s="20">
        <v>8</v>
      </c>
      <c r="C46" s="40">
        <v>19</v>
      </c>
      <c r="D46" s="39">
        <f>IFERROR(VLOOKUP(A46,[1]!Tabla8[#Data],3,FALSE),0)</f>
        <v>382109.06042666658</v>
      </c>
      <c r="E46" s="21">
        <f t="shared" ref="E46:E52" si="4">B46*C46*D46</f>
        <v>58080577.184853323</v>
      </c>
      <c r="F46" s="281"/>
    </row>
    <row r="47" spans="1:6" x14ac:dyDescent="0.35">
      <c r="A47" s="107" t="s">
        <v>640</v>
      </c>
      <c r="B47" s="20">
        <v>1</v>
      </c>
      <c r="C47" s="40">
        <v>19</v>
      </c>
      <c r="D47" s="39">
        <f>IFERROR(VLOOKUP(A47,[1]!Tabla8[#Data],3,FALSE),0)</f>
        <v>555393.74067333317</v>
      </c>
      <c r="E47" s="21">
        <f>B47*C47*D47</f>
        <v>10552481.072793331</v>
      </c>
      <c r="F47" s="281"/>
    </row>
    <row r="48" spans="1:6" ht="24" x14ac:dyDescent="0.35">
      <c r="A48" s="107" t="s">
        <v>645</v>
      </c>
      <c r="B48" s="20">
        <v>1</v>
      </c>
      <c r="C48" s="40">
        <v>19</v>
      </c>
      <c r="D48" s="39">
        <f>IFERROR(VLOOKUP(A48,[1]!Tabla8[#Data],3,FALSE),0)</f>
        <v>355821.87609999999</v>
      </c>
      <c r="E48" s="21">
        <f>B48*C48*D48</f>
        <v>6760615.6458999999</v>
      </c>
      <c r="F48" s="281"/>
    </row>
    <row r="49" spans="1:8" x14ac:dyDescent="0.35">
      <c r="A49" s="107" t="s">
        <v>644</v>
      </c>
      <c r="B49" s="20">
        <v>2</v>
      </c>
      <c r="C49" s="40">
        <v>19</v>
      </c>
      <c r="D49" s="39">
        <f>IFERROR(VLOOKUP(A49,[1]!Tabla8[#Data],3,FALSE),0)</f>
        <v>371571.3297066667</v>
      </c>
      <c r="E49" s="21">
        <f>B49*C49*D49</f>
        <v>14119710.528853334</v>
      </c>
      <c r="F49" s="281"/>
    </row>
    <row r="50" spans="1:8" x14ac:dyDescent="0.35">
      <c r="A50" s="107"/>
      <c r="B50" s="20"/>
      <c r="C50" s="35"/>
      <c r="D50" s="39">
        <f>IFERROR(VLOOKUP(A50,[1]!Tabla8[#Data],3,FALSE),0)</f>
        <v>0</v>
      </c>
      <c r="E50" s="21">
        <f t="shared" si="4"/>
        <v>0</v>
      </c>
      <c r="F50" s="281"/>
    </row>
    <row r="51" spans="1:8" x14ac:dyDescent="0.35">
      <c r="A51" s="107"/>
      <c r="B51" s="20"/>
      <c r="C51" s="35"/>
      <c r="D51" s="39">
        <f>IFERROR(VLOOKUP(A51,[1]!Tabla8[#Data],3,FALSE),0)</f>
        <v>0</v>
      </c>
      <c r="E51" s="21">
        <f>B51*C51*D51</f>
        <v>0</v>
      </c>
      <c r="F51" s="281"/>
    </row>
    <row r="52" spans="1:8" x14ac:dyDescent="0.35">
      <c r="A52" s="107"/>
      <c r="B52" s="20"/>
      <c r="C52" s="40"/>
      <c r="D52" s="39">
        <f>IFERROR(VLOOKUP(A52,[1]!Tabla8[#Data],3,FALSE),0)</f>
        <v>0</v>
      </c>
      <c r="E52" s="21">
        <f t="shared" si="4"/>
        <v>0</v>
      </c>
      <c r="F52" s="281"/>
    </row>
    <row r="53" spans="1:8" x14ac:dyDescent="0.35">
      <c r="A53" s="287">
        <v>3</v>
      </c>
      <c r="B53" s="287"/>
      <c r="C53" s="287"/>
      <c r="D53" s="287"/>
      <c r="E53" s="287"/>
      <c r="F53" s="42">
        <f>SUM(E45:E52)</f>
        <v>100065865.50519332</v>
      </c>
    </row>
    <row r="54" spans="1:8" x14ac:dyDescent="0.35">
      <c r="A54" s="33" t="s">
        <v>279</v>
      </c>
      <c r="B54" s="34" t="s">
        <v>83</v>
      </c>
      <c r="C54" s="35" t="s">
        <v>84</v>
      </c>
      <c r="D54" s="36" t="s">
        <v>269</v>
      </c>
      <c r="E54" s="37" t="s">
        <v>86</v>
      </c>
      <c r="F54" s="283"/>
    </row>
    <row r="55" spans="1:8" x14ac:dyDescent="0.35">
      <c r="A55" s="108" t="s">
        <v>240</v>
      </c>
      <c r="B55" s="108">
        <v>1</v>
      </c>
      <c r="C55" s="108">
        <v>3</v>
      </c>
      <c r="D55" s="108">
        <f>IFERROR(VLOOKUP(A55,[1]!TablaTransporte[#Data],2,FALSE),0)</f>
        <v>550000</v>
      </c>
      <c r="E55" s="110">
        <f>B55*C55*D55</f>
        <v>1650000</v>
      </c>
      <c r="F55" s="284"/>
    </row>
    <row r="56" spans="1:8" x14ac:dyDescent="0.35">
      <c r="A56" s="108" t="s">
        <v>381</v>
      </c>
      <c r="B56" s="108">
        <v>1</v>
      </c>
      <c r="C56" s="108">
        <v>16</v>
      </c>
      <c r="D56" s="108">
        <f>IFERROR(VLOOKUP(A56,[1]!TablaTransporte[#Data],2,FALSE),0)</f>
        <v>600000</v>
      </c>
      <c r="E56" s="110">
        <f>B56*C56*D56</f>
        <v>9600000</v>
      </c>
      <c r="F56" s="284"/>
    </row>
    <row r="57" spans="1:8" x14ac:dyDescent="0.35">
      <c r="A57" s="41"/>
      <c r="B57" s="41"/>
      <c r="C57" s="41"/>
      <c r="D57" s="41">
        <f>IFERROR(VLOOKUP(A57,[1]!TablaTransporte[#Data],2,FALSE),0)</f>
        <v>0</v>
      </c>
      <c r="E57" s="41"/>
      <c r="F57" s="284"/>
    </row>
    <row r="58" spans="1:8" x14ac:dyDescent="0.35">
      <c r="A58" s="41"/>
      <c r="B58" s="41"/>
      <c r="C58" s="41"/>
      <c r="D58" s="41">
        <f>IFERROR(VLOOKUP(A58,[1]!TablaTransporte[#Data],2,FALSE),0)</f>
        <v>0</v>
      </c>
      <c r="E58" s="41"/>
      <c r="F58" s="285"/>
    </row>
    <row r="59" spans="1:8" x14ac:dyDescent="0.35">
      <c r="A59" s="43"/>
      <c r="B59" s="43"/>
      <c r="C59" s="43"/>
      <c r="D59" s="43"/>
      <c r="E59" s="43"/>
      <c r="F59" s="42">
        <f>E56</f>
        <v>9600000</v>
      </c>
    </row>
    <row r="60" spans="1:8" x14ac:dyDescent="0.35">
      <c r="A60" s="288"/>
      <c r="B60" s="289"/>
      <c r="C60" s="289"/>
      <c r="D60" s="289"/>
      <c r="E60" s="290"/>
      <c r="F60" s="42">
        <f>F22+F43+F53+F59</f>
        <v>178130065.50519332</v>
      </c>
    </row>
    <row r="61" spans="1:8" ht="15" thickBot="1" x14ac:dyDescent="0.4">
      <c r="A61" s="291"/>
      <c r="B61" s="292"/>
      <c r="C61" s="292"/>
      <c r="D61" s="292"/>
      <c r="E61" s="293"/>
      <c r="F61" s="44">
        <f>F60*A61</f>
        <v>0</v>
      </c>
    </row>
    <row r="62" spans="1:8" ht="15" thickBot="1" x14ac:dyDescent="0.4">
      <c r="A62" s="299"/>
      <c r="B62" s="300"/>
      <c r="C62" s="300"/>
      <c r="D62" s="300"/>
      <c r="E62" s="301"/>
      <c r="F62" s="28">
        <f>F60+F61</f>
        <v>178130065.50519332</v>
      </c>
      <c r="H62" s="232"/>
    </row>
    <row r="63" spans="1:8" ht="15" thickBot="1" x14ac:dyDescent="0.4">
      <c r="A63" s="302"/>
      <c r="B63" s="300"/>
      <c r="C63" s="300"/>
      <c r="D63" s="300"/>
      <c r="E63" s="301"/>
      <c r="F63" s="28">
        <f>F62*A63</f>
        <v>0</v>
      </c>
    </row>
    <row r="64" spans="1:8" ht="15" thickBot="1" x14ac:dyDescent="0.4">
      <c r="A64" s="286"/>
      <c r="B64" s="286"/>
      <c r="C64" s="286"/>
      <c r="D64" s="286"/>
      <c r="E64" s="286"/>
      <c r="F64" s="28">
        <f>F62+F63</f>
        <v>178130065.50519332</v>
      </c>
    </row>
    <row r="65" spans="6:6" x14ac:dyDescent="0.35">
      <c r="F65" s="224">
        <f>F64/F3</f>
        <v>2313377.47409342</v>
      </c>
    </row>
  </sheetData>
  <mergeCells count="12">
    <mergeCell ref="A63:E63"/>
    <mergeCell ref="A64:E64"/>
    <mergeCell ref="F44:F52"/>
    <mergeCell ref="A53:E53"/>
    <mergeCell ref="F54:F58"/>
    <mergeCell ref="A60:E60"/>
    <mergeCell ref="A61:E61"/>
    <mergeCell ref="A43:E43"/>
    <mergeCell ref="A1:F1"/>
    <mergeCell ref="F4:F21"/>
    <mergeCell ref="A22:E22"/>
    <mergeCell ref="A62:E62"/>
  </mergeCells>
  <dataValidations count="4">
    <dataValidation type="list" allowBlank="1" showInputMessage="1" showErrorMessage="1" sqref="A3:A22" xr:uid="{979BF2AC-8455-4A8E-A184-BD609B135143}">
      <formula1>ListaEquipos</formula1>
    </dataValidation>
    <dataValidation type="list" allowBlank="1" showInputMessage="1" showErrorMessage="1" sqref="A56:A58" xr:uid="{E92C0B3A-DA03-4285-8E1A-174117836216}">
      <formula1>ListaTransporte</formula1>
    </dataValidation>
    <dataValidation type="list" allowBlank="1" showInputMessage="1" showErrorMessage="1" sqref="A45:A52" xr:uid="{6AC2A150-2415-481D-84FB-E9BECE27DCB0}">
      <formula1>ListaProfesiones</formula1>
    </dataValidation>
    <dataValidation type="list" allowBlank="1" showInputMessage="1" showErrorMessage="1" sqref="A24:A43" xr:uid="{85E5C273-C1E3-4325-8BD9-E854F6A5F5F8}">
      <formula1>ListaMateriales</formula1>
    </dataValidation>
  </dataValidation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0032-DCCF-4DFD-BD32-FD05F41C50E0}">
  <sheetPr>
    <tabColor rgb="FF00B050"/>
  </sheetPr>
  <dimension ref="A1:G75"/>
  <sheetViews>
    <sheetView topLeftCell="E55" workbookViewId="0">
      <selection activeCell="H50" sqref="H50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5" max="5" width="11.453125" bestFit="1" customWidth="1"/>
    <col min="6" max="6" width="13.6328125" bestFit="1" customWidth="1"/>
  </cols>
  <sheetData>
    <row r="1" spans="1:7" x14ac:dyDescent="0.35">
      <c r="A1" s="306" t="s">
        <v>196</v>
      </c>
      <c r="B1" s="306"/>
      <c r="C1" s="306"/>
      <c r="D1" s="306"/>
      <c r="E1" s="306"/>
      <c r="F1" s="307"/>
    </row>
    <row r="2" spans="1:7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ACTUALIZADO'!C43</f>
        <v>M3</v>
      </c>
    </row>
    <row r="3" spans="1:7" x14ac:dyDescent="0.35">
      <c r="A3" s="33"/>
      <c r="B3" s="34"/>
      <c r="C3" s="45"/>
      <c r="D3" s="46"/>
      <c r="E3" s="37"/>
      <c r="F3" s="77">
        <f>'RESUMEN ACTUALIZADO'!D43</f>
        <v>58</v>
      </c>
    </row>
    <row r="4" spans="1:7" x14ac:dyDescent="0.35">
      <c r="A4" s="24" t="s">
        <v>459</v>
      </c>
      <c r="B4" s="22">
        <v>1</v>
      </c>
      <c r="C4" s="23">
        <v>19</v>
      </c>
      <c r="D4" s="24">
        <f>IFERROR(VLOOKUP(A4,[1]!TablaEquipos[#Data],2,FALSE),0)</f>
        <v>60000</v>
      </c>
      <c r="E4" s="25">
        <f t="shared" ref="E4:E19" si="0">B4*C4*D4</f>
        <v>1140000</v>
      </c>
      <c r="F4" s="62"/>
    </row>
    <row r="5" spans="1:7" ht="23" x14ac:dyDescent="0.35">
      <c r="A5" s="26" t="s">
        <v>249</v>
      </c>
      <c r="B5" s="22">
        <v>2</v>
      </c>
      <c r="C5" s="23">
        <v>19</v>
      </c>
      <c r="D5" s="24">
        <f>IFERROR(VLOOKUP(A5,[1]!TablaEquipos[#Data],2,FALSE),0)</f>
        <v>40000</v>
      </c>
      <c r="E5" s="25">
        <f t="shared" si="0"/>
        <v>1520000</v>
      </c>
      <c r="F5" s="62"/>
    </row>
    <row r="6" spans="1:7" x14ac:dyDescent="0.35">
      <c r="A6" s="26" t="s">
        <v>229</v>
      </c>
      <c r="B6" s="22">
        <v>6</v>
      </c>
      <c r="C6" s="23">
        <v>19</v>
      </c>
      <c r="D6" s="24">
        <f>IFERROR(VLOOKUP(A6,[1]!TablaEquipos[#Data],2,FALSE),0)</f>
        <v>1500</v>
      </c>
      <c r="E6" s="25">
        <f t="shared" si="0"/>
        <v>171000</v>
      </c>
      <c r="F6" s="62"/>
    </row>
    <row r="7" spans="1:7" x14ac:dyDescent="0.35">
      <c r="A7" s="24" t="s">
        <v>337</v>
      </c>
      <c r="B7" s="22">
        <v>15</v>
      </c>
      <c r="C7" s="23">
        <v>19</v>
      </c>
      <c r="D7" s="24">
        <f>IFERROR(VLOOKUP(A7,[1]!TablaEquipos[#Data],2,FALSE),0)</f>
        <v>500</v>
      </c>
      <c r="E7" s="25">
        <f t="shared" si="0"/>
        <v>142500</v>
      </c>
      <c r="F7" s="62"/>
    </row>
    <row r="8" spans="1:7" x14ac:dyDescent="0.35">
      <c r="A8" s="26" t="s">
        <v>382</v>
      </c>
      <c r="B8" s="22">
        <v>6</v>
      </c>
      <c r="C8" s="23">
        <v>19</v>
      </c>
      <c r="D8" s="24">
        <f>IFERROR(VLOOKUP(A8,[1]!TablaEquipos[#Data],2,FALSE),0)</f>
        <v>700</v>
      </c>
      <c r="E8" s="25">
        <f t="shared" si="0"/>
        <v>79800</v>
      </c>
      <c r="F8" s="62"/>
    </row>
    <row r="9" spans="1:7" x14ac:dyDescent="0.35">
      <c r="A9" s="24" t="s">
        <v>234</v>
      </c>
      <c r="B9" s="22">
        <v>5</v>
      </c>
      <c r="C9" s="23">
        <v>11</v>
      </c>
      <c r="D9" s="24">
        <f>IFERROR(VLOOKUP(A9,[1]!TablaEquipos[#Data],2,FALSE),0)</f>
        <v>135000</v>
      </c>
      <c r="E9" s="25">
        <f t="shared" si="0"/>
        <v>7425000</v>
      </c>
      <c r="F9" s="62"/>
    </row>
    <row r="10" spans="1:7" x14ac:dyDescent="0.35">
      <c r="A10" s="81" t="s">
        <v>648</v>
      </c>
      <c r="B10" s="82">
        <v>2</v>
      </c>
      <c r="C10" s="23">
        <v>19</v>
      </c>
      <c r="D10" s="24">
        <f>IFERROR(VLOOKUP(A10,[1]!TablaEquipos[#Data],2,FALSE),0)</f>
        <v>12500</v>
      </c>
      <c r="E10" s="83">
        <f t="shared" si="0"/>
        <v>475000</v>
      </c>
      <c r="F10" s="62"/>
    </row>
    <row r="11" spans="1:7" x14ac:dyDescent="0.35">
      <c r="A11" s="81" t="s">
        <v>658</v>
      </c>
      <c r="B11" s="82">
        <v>10</v>
      </c>
      <c r="C11" s="23">
        <v>19</v>
      </c>
      <c r="D11" s="24">
        <f>IFERROR(VLOOKUP(A11,[1]!TablaEquipos[#Data],2,FALSE),0)</f>
        <v>9000</v>
      </c>
      <c r="E11" s="83">
        <f t="shared" si="0"/>
        <v>1710000</v>
      </c>
      <c r="F11" s="62"/>
    </row>
    <row r="12" spans="1:7" x14ac:dyDescent="0.35">
      <c r="A12" s="81" t="s">
        <v>236</v>
      </c>
      <c r="B12" s="82">
        <v>2</v>
      </c>
      <c r="C12" s="23">
        <v>19</v>
      </c>
      <c r="D12" s="24">
        <f>IFERROR(VLOOKUP(A12,[1]!TablaEquipos[#Data],2,FALSE),0)</f>
        <v>9000</v>
      </c>
      <c r="E12" s="83">
        <f t="shared" si="0"/>
        <v>342000</v>
      </c>
      <c r="F12" s="62"/>
      <c r="G12" t="s">
        <v>657</v>
      </c>
    </row>
    <row r="13" spans="1:7" x14ac:dyDescent="0.35">
      <c r="A13" s="81" t="s">
        <v>652</v>
      </c>
      <c r="B13" s="82">
        <v>1</v>
      </c>
      <c r="C13" s="23">
        <v>9</v>
      </c>
      <c r="D13" s="24">
        <f>IFERROR(VLOOKUP(A13,[1]!TablaEquipos[#Data],2,FALSE),0)</f>
        <v>200000</v>
      </c>
      <c r="E13" s="83">
        <f t="shared" si="0"/>
        <v>1800000</v>
      </c>
      <c r="F13" s="62"/>
    </row>
    <row r="14" spans="1:7" x14ac:dyDescent="0.35">
      <c r="A14" s="81" t="s">
        <v>653</v>
      </c>
      <c r="B14" s="82">
        <v>2</v>
      </c>
      <c r="C14" s="23">
        <v>19</v>
      </c>
      <c r="D14" s="24">
        <f>IFERROR(VLOOKUP(A14,[1]!TablaEquipos[#Data],2,FALSE),0)</f>
        <v>40000</v>
      </c>
      <c r="E14" s="83">
        <f t="shared" si="0"/>
        <v>1520000</v>
      </c>
      <c r="F14" s="62"/>
    </row>
    <row r="15" spans="1:7" x14ac:dyDescent="0.35">
      <c r="A15" s="81" t="s">
        <v>654</v>
      </c>
      <c r="B15" s="82">
        <v>2</v>
      </c>
      <c r="C15" s="23">
        <v>9</v>
      </c>
      <c r="D15" s="24">
        <f>IFERROR(VLOOKUP(A15,[1]!TablaEquipos[#Data],2,FALSE),0)</f>
        <v>15000</v>
      </c>
      <c r="E15" s="83">
        <f t="shared" si="0"/>
        <v>270000</v>
      </c>
      <c r="F15" s="62"/>
    </row>
    <row r="16" spans="1:7" x14ac:dyDescent="0.35">
      <c r="A16" s="81" t="s">
        <v>407</v>
      </c>
      <c r="B16" s="82">
        <v>4</v>
      </c>
      <c r="C16" s="23">
        <v>19</v>
      </c>
      <c r="D16" s="24">
        <f>IFERROR(VLOOKUP(A16,[1]!TablaEquipos[#Data],2,FALSE),0)</f>
        <v>8000</v>
      </c>
      <c r="E16" s="83">
        <f t="shared" si="0"/>
        <v>608000</v>
      </c>
      <c r="F16" s="62"/>
    </row>
    <row r="17" spans="1:6" x14ac:dyDescent="0.35">
      <c r="A17" s="81" t="s">
        <v>651</v>
      </c>
      <c r="B17" s="82">
        <v>1</v>
      </c>
      <c r="C17" s="23">
        <v>11</v>
      </c>
      <c r="D17" s="24">
        <f>IFERROR(VLOOKUP(A17,[1]!TablaEquipos[#Data],2,FALSE),0)</f>
        <v>40000</v>
      </c>
      <c r="E17" s="83">
        <f t="shared" si="0"/>
        <v>440000</v>
      </c>
      <c r="F17" s="62"/>
    </row>
    <row r="18" spans="1:6" x14ac:dyDescent="0.35">
      <c r="A18" s="81" t="s">
        <v>458</v>
      </c>
      <c r="B18" s="82">
        <v>4</v>
      </c>
      <c r="C18" s="23">
        <v>19</v>
      </c>
      <c r="D18" s="24">
        <f>IFERROR(VLOOKUP(A18,[1]!TablaEquipos[#Data],2,FALSE),0)</f>
        <v>700</v>
      </c>
      <c r="E18" s="83">
        <f t="shared" si="0"/>
        <v>53200</v>
      </c>
      <c r="F18" s="62"/>
    </row>
    <row r="19" spans="1:6" x14ac:dyDescent="0.35">
      <c r="A19" s="24" t="s">
        <v>435</v>
      </c>
      <c r="B19" s="22">
        <v>4</v>
      </c>
      <c r="C19" s="23">
        <v>19</v>
      </c>
      <c r="D19" s="24">
        <f>IFERROR(VLOOKUP(A19,[1]!TablaEquipos[#Data],2,FALSE),0)</f>
        <v>700</v>
      </c>
      <c r="E19" s="25">
        <f t="shared" si="0"/>
        <v>53200</v>
      </c>
      <c r="F19" s="62"/>
    </row>
    <row r="20" spans="1:6" x14ac:dyDescent="0.35">
      <c r="A20" s="24" t="s">
        <v>491</v>
      </c>
      <c r="B20" s="22">
        <v>6</v>
      </c>
      <c r="C20" s="23">
        <v>19</v>
      </c>
      <c r="D20" s="24">
        <f>IFERROR(VLOOKUP(A20,[1]!TablaEquipos[#Data],2,FALSE),0)</f>
        <v>3000</v>
      </c>
      <c r="E20" s="25">
        <f>B20*D20</f>
        <v>18000</v>
      </c>
      <c r="F20" s="62"/>
    </row>
    <row r="21" spans="1:6" x14ac:dyDescent="0.35">
      <c r="A21" s="24" t="s">
        <v>226</v>
      </c>
      <c r="B21" s="22">
        <v>2</v>
      </c>
      <c r="C21" s="23">
        <v>19</v>
      </c>
      <c r="D21" s="24">
        <f>IFERROR(VLOOKUP(A21,[1]!TablaEquipos[#Data],2,FALSE),0)</f>
        <v>700</v>
      </c>
      <c r="E21" s="25">
        <f>B21*C21*D21</f>
        <v>26600</v>
      </c>
      <c r="F21" s="62"/>
    </row>
    <row r="22" spans="1:6" x14ac:dyDescent="0.35">
      <c r="A22" s="24" t="s">
        <v>230</v>
      </c>
      <c r="B22" s="22">
        <v>1</v>
      </c>
      <c r="C22" s="23">
        <v>19</v>
      </c>
      <c r="D22" s="24">
        <f>IFERROR(VLOOKUP(A22,[1]!TablaEquipos[#Data],2,FALSE),0)</f>
        <v>15000</v>
      </c>
      <c r="E22" s="25">
        <f>B22*C22*D22</f>
        <v>285000</v>
      </c>
      <c r="F22" s="62"/>
    </row>
    <row r="23" spans="1:6" x14ac:dyDescent="0.35">
      <c r="A23" s="24" t="s">
        <v>393</v>
      </c>
      <c r="B23" s="22">
        <v>3</v>
      </c>
      <c r="C23" s="23">
        <v>19</v>
      </c>
      <c r="D23" s="24">
        <f>IFERROR(VLOOKUP(A23,[1]!TablaEquipos[#Data],2,FALSE),0)</f>
        <v>15000</v>
      </c>
      <c r="E23" s="25">
        <f>B23*C23*D23</f>
        <v>855000</v>
      </c>
      <c r="F23" s="62"/>
    </row>
    <row r="24" spans="1:6" x14ac:dyDescent="0.35">
      <c r="A24" s="24" t="s">
        <v>431</v>
      </c>
      <c r="B24" s="22">
        <v>2</v>
      </c>
      <c r="C24" s="23">
        <v>19</v>
      </c>
      <c r="D24" s="24">
        <f>IFERROR(VLOOKUP(A24,[1]!TablaEquipos[#Data],2,FALSE),0)</f>
        <v>1000</v>
      </c>
      <c r="E24" s="25">
        <f t="shared" ref="E24:E30" si="1">B24*C24*D24</f>
        <v>38000</v>
      </c>
      <c r="F24" s="62"/>
    </row>
    <row r="25" spans="1:6" x14ac:dyDescent="0.35">
      <c r="A25" s="24" t="s">
        <v>432</v>
      </c>
      <c r="B25" s="22">
        <v>2</v>
      </c>
      <c r="C25" s="23">
        <v>19</v>
      </c>
      <c r="D25" s="24">
        <f>IFERROR(VLOOKUP(A25,[1]!TablaEquipos[#Data],2,FALSE),0)</f>
        <v>500</v>
      </c>
      <c r="E25" s="25">
        <f t="shared" si="1"/>
        <v>19000</v>
      </c>
      <c r="F25" s="62"/>
    </row>
    <row r="26" spans="1:6" x14ac:dyDescent="0.35">
      <c r="A26" s="24" t="s">
        <v>460</v>
      </c>
      <c r="B26" s="22">
        <v>1</v>
      </c>
      <c r="C26" s="23">
        <v>19</v>
      </c>
      <c r="D26" s="24">
        <f>IFERROR(VLOOKUP(A26,[1]!TablaEquipos[#Data],2,FALSE),0)</f>
        <v>30000</v>
      </c>
      <c r="E26" s="25">
        <f t="shared" si="1"/>
        <v>570000</v>
      </c>
      <c r="F26" s="62"/>
    </row>
    <row r="27" spans="1:6" x14ac:dyDescent="0.35">
      <c r="A27" s="24" t="s">
        <v>638</v>
      </c>
      <c r="B27" s="22">
        <v>2</v>
      </c>
      <c r="C27" s="23">
        <v>19</v>
      </c>
      <c r="D27" s="24">
        <f>IFERROR(VLOOKUP(A27,[1]!TablaEquipos[#Data],2,FALSE),0)</f>
        <v>3000</v>
      </c>
      <c r="E27" s="25">
        <f t="shared" si="1"/>
        <v>114000</v>
      </c>
      <c r="F27" s="62"/>
    </row>
    <row r="28" spans="1:6" x14ac:dyDescent="0.35">
      <c r="A28" s="24" t="s">
        <v>639</v>
      </c>
      <c r="B28" s="22">
        <v>4</v>
      </c>
      <c r="C28" s="23">
        <v>19</v>
      </c>
      <c r="D28" s="24">
        <f>IFERROR(VLOOKUP(A28,[1]!TablaEquipos[#Data],2,FALSE),0)</f>
        <v>2000</v>
      </c>
      <c r="E28" s="25">
        <f t="shared" si="1"/>
        <v>152000</v>
      </c>
      <c r="F28" s="62"/>
    </row>
    <row r="29" spans="1:6" x14ac:dyDescent="0.35">
      <c r="A29" s="24" t="s">
        <v>655</v>
      </c>
      <c r="B29" s="22">
        <v>1</v>
      </c>
      <c r="C29" s="23">
        <v>19</v>
      </c>
      <c r="D29" s="24">
        <f>IFERROR(VLOOKUP(A29,[1]!TablaEquipos[#Data],2,FALSE),0)</f>
        <v>5000</v>
      </c>
      <c r="E29" s="25">
        <f>B29*C29*D29</f>
        <v>95000</v>
      </c>
      <c r="F29" s="62"/>
    </row>
    <row r="30" spans="1:6" x14ac:dyDescent="0.35">
      <c r="A30" s="24" t="s">
        <v>649</v>
      </c>
      <c r="B30" s="22">
        <v>1</v>
      </c>
      <c r="C30" s="23">
        <v>61</v>
      </c>
      <c r="D30" s="24">
        <f>IFERROR(VLOOKUP(A30,[1]!TablaEquipos[#Data],2,FALSE),0)</f>
        <v>70000</v>
      </c>
      <c r="E30" s="25">
        <f t="shared" si="1"/>
        <v>4270000</v>
      </c>
      <c r="F30" s="62"/>
    </row>
    <row r="31" spans="1:6" ht="15" thickBot="1" x14ac:dyDescent="0.4">
      <c r="A31" s="294"/>
      <c r="B31" s="295"/>
      <c r="C31" s="295"/>
      <c r="D31" s="295"/>
      <c r="E31" s="295"/>
      <c r="F31" s="84">
        <f>SUM(E4:E30)</f>
        <v>24192300</v>
      </c>
    </row>
    <row r="32" spans="1:6" x14ac:dyDescent="0.35">
      <c r="A32" s="33" t="s">
        <v>270</v>
      </c>
      <c r="B32" s="34" t="s">
        <v>83</v>
      </c>
      <c r="C32" s="45" t="s">
        <v>84</v>
      </c>
      <c r="D32" s="46" t="s">
        <v>269</v>
      </c>
      <c r="E32" s="37" t="s">
        <v>86</v>
      </c>
      <c r="F32" s="168"/>
    </row>
    <row r="33" spans="1:6" x14ac:dyDescent="0.35">
      <c r="A33" s="24" t="s">
        <v>634</v>
      </c>
      <c r="B33" s="22">
        <v>61</v>
      </c>
      <c r="C33" s="29"/>
      <c r="D33" s="27">
        <f>IFERROR(VLOOKUP(A33,[1]!TablaMateriales[#Data],2,FALSE),0)</f>
        <v>550000</v>
      </c>
      <c r="E33" s="25">
        <f>B33*D33</f>
        <v>33550000</v>
      </c>
      <c r="F33" s="155"/>
    </row>
    <row r="34" spans="1:6" x14ac:dyDescent="0.35">
      <c r="A34" s="30" t="s">
        <v>635</v>
      </c>
      <c r="B34" s="22">
        <v>1.5</v>
      </c>
      <c r="C34" s="29"/>
      <c r="D34" s="27">
        <f>IFERROR(VLOOKUP(A34,[1]!TablaMateriales[#Data],2,FALSE),0)</f>
        <v>250000</v>
      </c>
      <c r="E34" s="25">
        <f>B34*D34</f>
        <v>375000</v>
      </c>
      <c r="F34" s="155"/>
    </row>
    <row r="35" spans="1:6" x14ac:dyDescent="0.35">
      <c r="A35" s="30" t="s">
        <v>452</v>
      </c>
      <c r="B35" s="22">
        <v>10</v>
      </c>
      <c r="C35" s="29"/>
      <c r="D35" s="27">
        <f>IFERROR(VLOOKUP(A35,[1]!TablaMateriales[#Data],2,FALSE),0)</f>
        <v>45000</v>
      </c>
      <c r="E35" s="25">
        <f>B35*D35</f>
        <v>450000</v>
      </c>
      <c r="F35" s="155"/>
    </row>
    <row r="36" spans="1:6" x14ac:dyDescent="0.35">
      <c r="A36" s="30" t="s">
        <v>455</v>
      </c>
      <c r="B36" s="22">
        <v>30</v>
      </c>
      <c r="C36" s="29"/>
      <c r="D36" s="27">
        <f>IFERROR(VLOOKUP(A36,[1]!TablaMateriales[#Data],2,FALSE),0)</f>
        <v>38000</v>
      </c>
      <c r="E36" s="25">
        <f t="shared" ref="E36:E45" si="2">B36*D36</f>
        <v>1140000</v>
      </c>
      <c r="F36" s="155"/>
    </row>
    <row r="37" spans="1:6" x14ac:dyDescent="0.35">
      <c r="A37" s="30" t="s">
        <v>427</v>
      </c>
      <c r="B37" s="78">
        <v>5</v>
      </c>
      <c r="C37" s="29"/>
      <c r="D37" s="27">
        <f>IFERROR(VLOOKUP(A37,[1]!TablaMateriales[#Data],2,FALSE),0)</f>
        <v>31000</v>
      </c>
      <c r="E37" s="25">
        <f t="shared" si="2"/>
        <v>155000</v>
      </c>
      <c r="F37" s="155"/>
    </row>
    <row r="38" spans="1:6" x14ac:dyDescent="0.35">
      <c r="A38" s="30" t="s">
        <v>636</v>
      </c>
      <c r="B38" s="78">
        <v>5</v>
      </c>
      <c r="C38" s="29"/>
      <c r="D38" s="27">
        <f>IFERROR(VLOOKUP(A38,[1]!TablaMateriales[#Data],2,FALSE),0)</f>
        <v>61000</v>
      </c>
      <c r="E38" s="25">
        <f t="shared" si="2"/>
        <v>305000</v>
      </c>
      <c r="F38" s="155"/>
    </row>
    <row r="39" spans="1:6" x14ac:dyDescent="0.35">
      <c r="A39" s="30" t="s">
        <v>387</v>
      </c>
      <c r="B39" s="78">
        <v>7</v>
      </c>
      <c r="C39" s="29"/>
      <c r="D39" s="27">
        <f>IFERROR(VLOOKUP(A39,[1]!TablaMateriales[#Data],2,FALSE),0)</f>
        <v>6000</v>
      </c>
      <c r="E39" s="25">
        <f t="shared" si="2"/>
        <v>42000</v>
      </c>
      <c r="F39" s="155"/>
    </row>
    <row r="40" spans="1:6" x14ac:dyDescent="0.35">
      <c r="A40" s="30" t="s">
        <v>349</v>
      </c>
      <c r="B40" s="78">
        <v>100</v>
      </c>
      <c r="C40" s="29"/>
      <c r="D40" s="27">
        <f>IFERROR(VLOOKUP(A40,[1]!TablaMateriales[#Data],2,FALSE),0)</f>
        <v>30000</v>
      </c>
      <c r="E40" s="25">
        <f t="shared" si="2"/>
        <v>3000000</v>
      </c>
      <c r="F40" s="155"/>
    </row>
    <row r="41" spans="1:6" x14ac:dyDescent="0.35">
      <c r="A41" s="79" t="s">
        <v>254</v>
      </c>
      <c r="B41" s="78">
        <v>140</v>
      </c>
      <c r="C41" s="29"/>
      <c r="D41" s="27">
        <f>IFERROR(VLOOKUP(A41,[1]!TablaMateriales[#Data],2,FALSE),0)</f>
        <v>20000</v>
      </c>
      <c r="E41" s="25">
        <f t="shared" si="2"/>
        <v>2800000</v>
      </c>
      <c r="F41" s="155"/>
    </row>
    <row r="42" spans="1:6" x14ac:dyDescent="0.35">
      <c r="A42" s="30" t="s">
        <v>257</v>
      </c>
      <c r="B42" s="78">
        <v>15</v>
      </c>
      <c r="C42" s="29"/>
      <c r="D42" s="27">
        <f>IFERROR(VLOOKUP(A42,[1]!TablaMateriales[#Data],2,FALSE),0)</f>
        <v>9500</v>
      </c>
      <c r="E42" s="25">
        <f t="shared" si="2"/>
        <v>142500</v>
      </c>
      <c r="F42" s="155"/>
    </row>
    <row r="43" spans="1:6" x14ac:dyDescent="0.35">
      <c r="A43" s="31" t="s">
        <v>308</v>
      </c>
      <c r="B43" s="78">
        <v>40</v>
      </c>
      <c r="C43" s="29"/>
      <c r="D43" s="27">
        <f>IFERROR(VLOOKUP(A43,[1]!TablaMateriales[#Data],2,FALSE),0)</f>
        <v>7592</v>
      </c>
      <c r="E43" s="25">
        <f t="shared" si="2"/>
        <v>303680</v>
      </c>
      <c r="F43" s="155"/>
    </row>
    <row r="44" spans="1:6" ht="23" x14ac:dyDescent="0.35">
      <c r="A44" s="31" t="s">
        <v>637</v>
      </c>
      <c r="B44" s="78">
        <v>30</v>
      </c>
      <c r="C44" s="29"/>
      <c r="D44" s="27">
        <f>IFERROR(VLOOKUP(A44,[1]!TablaMateriales[#Data],2,FALSE),0)</f>
        <v>56000</v>
      </c>
      <c r="E44" s="25">
        <f t="shared" si="2"/>
        <v>1680000</v>
      </c>
      <c r="F44" s="155"/>
    </row>
    <row r="45" spans="1:6" x14ac:dyDescent="0.35">
      <c r="A45" s="31" t="s">
        <v>253</v>
      </c>
      <c r="B45" s="78">
        <v>50</v>
      </c>
      <c r="C45" s="29"/>
      <c r="D45" s="27">
        <f>IFERROR(VLOOKUP(A45,[1]!TablaMateriales[#Data],2,FALSE),0)</f>
        <v>35000</v>
      </c>
      <c r="E45" s="25">
        <f t="shared" si="2"/>
        <v>1750000</v>
      </c>
      <c r="F45" s="155"/>
    </row>
    <row r="46" spans="1:6" x14ac:dyDescent="0.35">
      <c r="A46" s="31" t="s">
        <v>243</v>
      </c>
      <c r="B46" s="78">
        <v>100</v>
      </c>
      <c r="C46" s="29"/>
      <c r="D46" s="27">
        <f>IFERROR(VLOOKUP(A46,[1]!TablaMateriales[#Data],2,FALSE),0)</f>
        <v>9500</v>
      </c>
      <c r="E46" s="25">
        <f t="shared" ref="E46:E51" si="3">B46*D46</f>
        <v>950000</v>
      </c>
      <c r="F46" s="155"/>
    </row>
    <row r="47" spans="1:6" x14ac:dyDescent="0.35">
      <c r="A47" s="31" t="s">
        <v>259</v>
      </c>
      <c r="B47" s="78">
        <v>10</v>
      </c>
      <c r="C47" s="23"/>
      <c r="D47" s="27">
        <f>IFERROR(VLOOKUP(A47,[1]!TablaMateriales[#Data],2,FALSE),0)</f>
        <v>15000</v>
      </c>
      <c r="E47" s="25">
        <f t="shared" si="3"/>
        <v>150000</v>
      </c>
      <c r="F47" s="155"/>
    </row>
    <row r="48" spans="1:6" x14ac:dyDescent="0.35">
      <c r="A48" s="31" t="s">
        <v>647</v>
      </c>
      <c r="B48" s="78">
        <v>34</v>
      </c>
      <c r="C48" s="23"/>
      <c r="D48" s="27">
        <f>IFERROR(VLOOKUP(A48,[1]!TablaMateriales[#Data],2,FALSE),0)</f>
        <v>60000</v>
      </c>
      <c r="E48" s="25">
        <f t="shared" si="3"/>
        <v>2040000</v>
      </c>
      <c r="F48" s="155"/>
    </row>
    <row r="49" spans="1:6" x14ac:dyDescent="0.35">
      <c r="A49" s="31" t="s">
        <v>433</v>
      </c>
      <c r="B49" s="78">
        <v>1</v>
      </c>
      <c r="C49" s="23"/>
      <c r="D49" s="27">
        <f>IFERROR(VLOOKUP(A49,[1]!TablaMateriales[#Data],2,FALSE),0)</f>
        <v>25000</v>
      </c>
      <c r="E49" s="25">
        <f t="shared" si="3"/>
        <v>25000</v>
      </c>
      <c r="F49" s="155"/>
    </row>
    <row r="50" spans="1:6" x14ac:dyDescent="0.35">
      <c r="A50" s="30"/>
      <c r="B50" s="78"/>
      <c r="C50" s="23"/>
      <c r="D50" s="27">
        <f>IFERROR(VLOOKUP(A50,[1]!TablaMateriales[#Data],2,FALSE),0)</f>
        <v>0</v>
      </c>
      <c r="E50" s="25">
        <f t="shared" si="3"/>
        <v>0</v>
      </c>
      <c r="F50" s="155"/>
    </row>
    <row r="51" spans="1:6" ht="15" thickBot="1" x14ac:dyDescent="0.4">
      <c r="A51" s="31"/>
      <c r="B51" s="78"/>
      <c r="C51" s="23"/>
      <c r="D51" s="27">
        <f>IFERROR(VLOOKUP(A51,[1]!TablaMateriales[#Data],2,FALSE),0)</f>
        <v>0</v>
      </c>
      <c r="E51" s="25">
        <f t="shared" si="3"/>
        <v>0</v>
      </c>
      <c r="F51" s="155"/>
    </row>
    <row r="52" spans="1:6" ht="15" thickBot="1" x14ac:dyDescent="0.4">
      <c r="A52" s="296"/>
      <c r="B52" s="297"/>
      <c r="C52" s="297"/>
      <c r="D52" s="297"/>
      <c r="E52" s="298"/>
      <c r="F52" s="28">
        <f>SUM(E33:E51)</f>
        <v>48858180</v>
      </c>
    </row>
    <row r="53" spans="1:6" x14ac:dyDescent="0.35">
      <c r="A53" s="33" t="s">
        <v>88</v>
      </c>
      <c r="B53" s="34" t="s">
        <v>83</v>
      </c>
      <c r="C53" s="35" t="s">
        <v>84</v>
      </c>
      <c r="D53" s="36" t="s">
        <v>89</v>
      </c>
      <c r="E53" s="37" t="s">
        <v>86</v>
      </c>
      <c r="F53" s="168"/>
    </row>
    <row r="54" spans="1:6" x14ac:dyDescent="0.35">
      <c r="A54" s="38" t="s">
        <v>596</v>
      </c>
      <c r="B54" s="34">
        <v>1</v>
      </c>
      <c r="C54" s="35">
        <v>23.3</v>
      </c>
      <c r="D54" s="39">
        <f>IFERROR(VLOOKUP(A54,[1]!Tabla8[#Data],3,FALSE),0)</f>
        <v>555393.74067333317</v>
      </c>
      <c r="E54" s="37">
        <f t="shared" ref="E54:E62" si="4">B54*C54*D54</f>
        <v>12940674.157688662</v>
      </c>
      <c r="F54" s="155"/>
    </row>
    <row r="55" spans="1:6" x14ac:dyDescent="0.35">
      <c r="A55" s="107" t="s">
        <v>640</v>
      </c>
      <c r="B55" s="20">
        <v>1</v>
      </c>
      <c r="C55" s="40">
        <v>23.3</v>
      </c>
      <c r="D55" s="39">
        <f>IFERROR(VLOOKUP(A55,[1]!Tabla8[#Data],3,FALSE),0)</f>
        <v>555393.74067333317</v>
      </c>
      <c r="E55" s="21">
        <f t="shared" si="4"/>
        <v>12940674.157688662</v>
      </c>
      <c r="F55" s="155"/>
    </row>
    <row r="56" spans="1:6" x14ac:dyDescent="0.35">
      <c r="A56" s="107" t="s">
        <v>587</v>
      </c>
      <c r="B56" s="20">
        <v>1</v>
      </c>
      <c r="C56" s="40">
        <v>13.3</v>
      </c>
      <c r="D56" s="39">
        <f>IFERROR(VLOOKUP(A56,[1]!Tabla8[#Data],3,FALSE),0)</f>
        <v>443956.94156000001</v>
      </c>
      <c r="E56" s="21">
        <f t="shared" si="4"/>
        <v>5904627.3227480007</v>
      </c>
      <c r="F56" s="155"/>
    </row>
    <row r="57" spans="1:6" x14ac:dyDescent="0.35">
      <c r="A57" s="107" t="s">
        <v>538</v>
      </c>
      <c r="B57" s="20">
        <v>1</v>
      </c>
      <c r="C57" s="40">
        <v>23.3</v>
      </c>
      <c r="D57" s="39">
        <f>IFERROR(VLOOKUP(A57,[1]!Tabla8[#Data],3,FALSE),0)</f>
        <v>371571.3297066667</v>
      </c>
      <c r="E57" s="21">
        <f t="shared" si="4"/>
        <v>8657611.9821653347</v>
      </c>
      <c r="F57" s="155"/>
    </row>
    <row r="58" spans="1:6" x14ac:dyDescent="0.35">
      <c r="A58" s="107" t="s">
        <v>643</v>
      </c>
      <c r="B58" s="20">
        <v>1</v>
      </c>
      <c r="C58" s="40">
        <v>23.3</v>
      </c>
      <c r="D58" s="39">
        <f>IFERROR(VLOOKUP(A58,[1]!Tabla8[#Data],3,FALSE),0)</f>
        <v>407197.80492666672</v>
      </c>
      <c r="E58" s="21">
        <f t="shared" si="4"/>
        <v>9487708.8547913358</v>
      </c>
      <c r="F58" s="155"/>
    </row>
    <row r="59" spans="1:6" x14ac:dyDescent="0.35">
      <c r="A59" s="107" t="s">
        <v>656</v>
      </c>
      <c r="B59" s="20">
        <v>1</v>
      </c>
      <c r="C59" s="40">
        <v>10.8</v>
      </c>
      <c r="D59" s="39">
        <f>IFERROR(VLOOKUP(A59,[1]!Tabla8[#Data],3,FALSE),0)</f>
        <v>407197.80492666672</v>
      </c>
      <c r="E59" s="21">
        <f t="shared" si="4"/>
        <v>4397736.2932080012</v>
      </c>
      <c r="F59" s="155"/>
    </row>
    <row r="60" spans="1:6" x14ac:dyDescent="0.35">
      <c r="A60" s="107" t="s">
        <v>274</v>
      </c>
      <c r="B60" s="20">
        <v>2</v>
      </c>
      <c r="C60" s="40">
        <v>23.3</v>
      </c>
      <c r="D60" s="39">
        <f>IFERROR(VLOOKUP(A60,[1]!Tabla8[#Data],3,FALSE),0)</f>
        <v>371571.3297066667</v>
      </c>
      <c r="E60" s="21">
        <f t="shared" si="4"/>
        <v>17315223.964330669</v>
      </c>
      <c r="F60" s="155"/>
    </row>
    <row r="61" spans="1:6" x14ac:dyDescent="0.35">
      <c r="A61" s="107" t="s">
        <v>223</v>
      </c>
      <c r="B61" s="20">
        <v>1</v>
      </c>
      <c r="C61" s="40">
        <v>23.3</v>
      </c>
      <c r="D61" s="39">
        <f>IFERROR(VLOOKUP(A61,[1]!Tabla8[#Data],3,FALSE),0)</f>
        <v>355821.87609999999</v>
      </c>
      <c r="E61" s="21">
        <f t="shared" si="4"/>
        <v>8290649.71313</v>
      </c>
      <c r="F61" s="155"/>
    </row>
    <row r="62" spans="1:6" x14ac:dyDescent="0.35">
      <c r="A62" s="107" t="s">
        <v>275</v>
      </c>
      <c r="B62" s="20">
        <v>8</v>
      </c>
      <c r="C62" s="40">
        <v>23.3</v>
      </c>
      <c r="D62" s="39">
        <f>IFERROR(VLOOKUP(A62,[1]!Tabla8[#Data],3,FALSE),0)</f>
        <v>382109.06042666658</v>
      </c>
      <c r="E62" s="21">
        <f t="shared" si="4"/>
        <v>71225128.863530651</v>
      </c>
      <c r="F62" s="155"/>
    </row>
    <row r="63" spans="1:6" x14ac:dyDescent="0.35">
      <c r="A63" s="287">
        <v>3</v>
      </c>
      <c r="B63" s="287"/>
      <c r="C63" s="287"/>
      <c r="D63" s="287"/>
      <c r="E63" s="287"/>
      <c r="F63" s="42">
        <f>SUM(E54:E62)</f>
        <v>151160035.30928132</v>
      </c>
    </row>
    <row r="64" spans="1:6" x14ac:dyDescent="0.35">
      <c r="A64" s="33" t="s">
        <v>279</v>
      </c>
      <c r="B64" s="34" t="s">
        <v>83</v>
      </c>
      <c r="C64" s="35" t="s">
        <v>84</v>
      </c>
      <c r="D64" s="36" t="s">
        <v>269</v>
      </c>
      <c r="E64" s="37" t="s">
        <v>86</v>
      </c>
      <c r="F64" s="283"/>
    </row>
    <row r="65" spans="1:6" x14ac:dyDescent="0.35">
      <c r="A65" s="108" t="s">
        <v>381</v>
      </c>
      <c r="B65" s="108">
        <v>1</v>
      </c>
      <c r="C65" s="108">
        <v>19</v>
      </c>
      <c r="D65" s="108">
        <f>IFERROR(VLOOKUP(A65,[1]!TablaTransporte[#Data],2,FALSE),0)</f>
        <v>600000</v>
      </c>
      <c r="E65" s="108">
        <f>B65*C65*D65</f>
        <v>11400000</v>
      </c>
      <c r="F65" s="284"/>
    </row>
    <row r="66" spans="1:6" x14ac:dyDescent="0.35">
      <c r="A66" s="108" t="s">
        <v>240</v>
      </c>
      <c r="B66" s="108">
        <v>1</v>
      </c>
      <c r="C66" s="108">
        <v>4</v>
      </c>
      <c r="D66" s="108">
        <f>IFERROR(VLOOKUP(A66,[1]!TablaTransporte[#Data],2,FALSE),0)</f>
        <v>550000</v>
      </c>
      <c r="E66" s="108">
        <f>B66*C66*D66</f>
        <v>2200000</v>
      </c>
      <c r="F66" s="284"/>
    </row>
    <row r="67" spans="1:6" x14ac:dyDescent="0.35">
      <c r="A67" s="108" t="s">
        <v>294</v>
      </c>
      <c r="B67" s="108">
        <v>1</v>
      </c>
      <c r="C67" s="108">
        <v>3</v>
      </c>
      <c r="D67" s="108">
        <f>IFERROR(VLOOKUP(A67,[1]!TablaTransporte[#Data],2,FALSE),0)</f>
        <v>1650000</v>
      </c>
      <c r="E67" s="108">
        <f>B67*C67*D67</f>
        <v>4950000</v>
      </c>
      <c r="F67" s="284"/>
    </row>
    <row r="68" spans="1:6" x14ac:dyDescent="0.35">
      <c r="A68" s="108"/>
      <c r="B68" s="108"/>
      <c r="C68" s="108"/>
      <c r="D68" s="108"/>
      <c r="E68" s="108"/>
      <c r="F68" s="285"/>
    </row>
    <row r="69" spans="1:6" x14ac:dyDescent="0.35">
      <c r="A69" s="43"/>
      <c r="B69" s="43"/>
      <c r="C69" s="43"/>
      <c r="D69" s="43"/>
      <c r="E69" s="43"/>
      <c r="F69" s="42">
        <f>E66</f>
        <v>2200000</v>
      </c>
    </row>
    <row r="70" spans="1:6" x14ac:dyDescent="0.35">
      <c r="A70" s="288"/>
      <c r="B70" s="289"/>
      <c r="C70" s="289"/>
      <c r="D70" s="289"/>
      <c r="E70" s="290"/>
      <c r="F70" s="42">
        <f>F31+F52+F63+F69</f>
        <v>226410515.30928132</v>
      </c>
    </row>
    <row r="71" spans="1:6" ht="15" thickBot="1" x14ac:dyDescent="0.4">
      <c r="A71" s="291"/>
      <c r="B71" s="292"/>
      <c r="C71" s="292"/>
      <c r="D71" s="292"/>
      <c r="E71" s="293"/>
      <c r="F71" s="44">
        <f>F70*A71</f>
        <v>0</v>
      </c>
    </row>
    <row r="72" spans="1:6" ht="15" thickBot="1" x14ac:dyDescent="0.4">
      <c r="A72" s="299"/>
      <c r="B72" s="300"/>
      <c r="C72" s="300"/>
      <c r="D72" s="300"/>
      <c r="E72" s="301"/>
      <c r="F72" s="28">
        <f>F70+F71</f>
        <v>226410515.30928132</v>
      </c>
    </row>
    <row r="73" spans="1:6" ht="15" thickBot="1" x14ac:dyDescent="0.4">
      <c r="A73" s="302"/>
      <c r="B73" s="300"/>
      <c r="C73" s="300"/>
      <c r="D73" s="300"/>
      <c r="E73" s="301"/>
      <c r="F73" s="28">
        <f>F72*A73</f>
        <v>0</v>
      </c>
    </row>
    <row r="74" spans="1:6" ht="15" thickBot="1" x14ac:dyDescent="0.4">
      <c r="A74" s="286"/>
      <c r="B74" s="286"/>
      <c r="C74" s="286"/>
      <c r="D74" s="286"/>
      <c r="E74" s="286"/>
      <c r="F74" s="28">
        <f>F72+F73</f>
        <v>226410515.30928132</v>
      </c>
    </row>
    <row r="75" spans="1:6" x14ac:dyDescent="0.35">
      <c r="F75" s="224">
        <f>F74/F3</f>
        <v>3903629.5742979539</v>
      </c>
    </row>
  </sheetData>
  <mergeCells count="10">
    <mergeCell ref="A74:E74"/>
    <mergeCell ref="A63:E63"/>
    <mergeCell ref="F64:F68"/>
    <mergeCell ref="A70:E70"/>
    <mergeCell ref="A71:E71"/>
    <mergeCell ref="A52:E52"/>
    <mergeCell ref="A1:F1"/>
    <mergeCell ref="A31:E31"/>
    <mergeCell ref="A72:E72"/>
    <mergeCell ref="A73:E73"/>
  </mergeCells>
  <dataValidations count="4">
    <dataValidation type="list" allowBlank="1" showInputMessage="1" showErrorMessage="1" sqref="A65:A68" xr:uid="{1023E599-A059-4E54-AB64-674C5C74E3C2}">
      <formula1>ListaTransporte</formula1>
    </dataValidation>
    <dataValidation type="list" allowBlank="1" showInputMessage="1" showErrorMessage="1" sqref="A54:A62" xr:uid="{ED9F6107-7972-48F5-B0B2-9991645E60B2}">
      <formula1>ListaProfesiones</formula1>
    </dataValidation>
    <dataValidation type="list" allowBlank="1" showInputMessage="1" showErrorMessage="1" sqref="A3:A31" xr:uid="{549A1358-6B4B-4130-9497-DEB7B2B7296D}">
      <formula1>ListaEquipos</formula1>
    </dataValidation>
    <dataValidation type="list" allowBlank="1" showInputMessage="1" showErrorMessage="1" sqref="A33:A52" xr:uid="{D25A0D7E-1708-49E4-AE49-75AA8488A618}">
      <formula1>ListaMateriales</formula1>
    </dataValidation>
  </dataValidation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7513-B2F2-4CC3-91DA-5E43F42E503D}">
  <sheetPr>
    <tabColor rgb="FF00B050"/>
  </sheetPr>
  <dimension ref="A1:F63"/>
  <sheetViews>
    <sheetView workbookViewId="0">
      <selection activeCell="A4" sqref="A4:B12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197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ACTUALIZADO'!C44</f>
        <v>M3</v>
      </c>
    </row>
    <row r="3" spans="1:6" x14ac:dyDescent="0.35">
      <c r="A3" s="33"/>
      <c r="B3" s="34"/>
      <c r="C3" s="45"/>
      <c r="D3" s="46"/>
      <c r="E3" s="37"/>
      <c r="F3" s="77">
        <f>'RESUMEN ACTUALIZADO'!D44</f>
        <v>14</v>
      </c>
    </row>
    <row r="4" spans="1:6" x14ac:dyDescent="0.35">
      <c r="A4" s="24" t="s">
        <v>459</v>
      </c>
      <c r="B4" s="22">
        <v>1</v>
      </c>
      <c r="C4" s="23">
        <v>4</v>
      </c>
      <c r="D4" s="24">
        <f>IFERROR(VLOOKUP(A4,[1]!TablaEquipos[#Data],2,FALSE),0)</f>
        <v>60000</v>
      </c>
      <c r="E4" s="25">
        <f t="shared" ref="E4:E11" si="0">B4*C4*D4</f>
        <v>240000</v>
      </c>
      <c r="F4" s="310"/>
    </row>
    <row r="5" spans="1:6" x14ac:dyDescent="0.35">
      <c r="A5" s="26" t="s">
        <v>229</v>
      </c>
      <c r="B5" s="22">
        <v>3</v>
      </c>
      <c r="C5" s="23">
        <v>4</v>
      </c>
      <c r="D5" s="24">
        <f>IFERROR(VLOOKUP(A5,[1]!TablaEquipos[#Data],2,FALSE),0)</f>
        <v>1500</v>
      </c>
      <c r="E5" s="25">
        <f t="shared" si="0"/>
        <v>18000</v>
      </c>
      <c r="F5" s="310"/>
    </row>
    <row r="6" spans="1:6" x14ac:dyDescent="0.35">
      <c r="A6" s="26" t="s">
        <v>337</v>
      </c>
      <c r="B6" s="22">
        <v>4</v>
      </c>
      <c r="C6" s="23">
        <v>4</v>
      </c>
      <c r="D6" s="24">
        <f>IFERROR(VLOOKUP(A6,[1]!TablaEquipos[#Data],2,FALSE),0)</f>
        <v>500</v>
      </c>
      <c r="E6" s="25">
        <f t="shared" si="0"/>
        <v>8000</v>
      </c>
      <c r="F6" s="310"/>
    </row>
    <row r="7" spans="1:6" x14ac:dyDescent="0.35">
      <c r="A7" s="24" t="s">
        <v>382</v>
      </c>
      <c r="B7" s="22">
        <v>4</v>
      </c>
      <c r="C7" s="23">
        <v>4</v>
      </c>
      <c r="D7" s="24">
        <f>IFERROR(VLOOKUP(A7,[1]!TablaEquipos[#Data],2,FALSE),0)</f>
        <v>700</v>
      </c>
      <c r="E7" s="25">
        <f t="shared" si="0"/>
        <v>11200</v>
      </c>
      <c r="F7" s="310"/>
    </row>
    <row r="8" spans="1:6" x14ac:dyDescent="0.35">
      <c r="A8" s="26" t="s">
        <v>479</v>
      </c>
      <c r="B8" s="22">
        <v>1</v>
      </c>
      <c r="C8" s="23">
        <v>4</v>
      </c>
      <c r="D8" s="24">
        <f>IFERROR(VLOOKUP(A8,[1]!TablaEquipos[#Data],2,FALSE),0)</f>
        <v>1500</v>
      </c>
      <c r="E8" s="25">
        <f t="shared" si="0"/>
        <v>6000</v>
      </c>
      <c r="F8" s="310"/>
    </row>
    <row r="9" spans="1:6" x14ac:dyDescent="0.35">
      <c r="A9" s="24" t="s">
        <v>435</v>
      </c>
      <c r="B9" s="22">
        <v>2</v>
      </c>
      <c r="C9" s="23">
        <v>4</v>
      </c>
      <c r="D9" s="24">
        <f>IFERROR(VLOOKUP(A9,[1]!TablaEquipos[#Data],2,FALSE),0)</f>
        <v>700</v>
      </c>
      <c r="E9" s="25">
        <f t="shared" si="0"/>
        <v>5600</v>
      </c>
      <c r="F9" s="310"/>
    </row>
    <row r="10" spans="1:6" x14ac:dyDescent="0.35">
      <c r="A10" s="81" t="s">
        <v>496</v>
      </c>
      <c r="B10" s="82">
        <v>1</v>
      </c>
      <c r="C10" s="32">
        <v>4</v>
      </c>
      <c r="D10" s="81">
        <f>IFERROR(VLOOKUP(A10,[1]!TablaEquipos[#Data],2,FALSE),0)</f>
        <v>700</v>
      </c>
      <c r="E10" s="83">
        <f t="shared" si="0"/>
        <v>2800</v>
      </c>
      <c r="F10" s="310"/>
    </row>
    <row r="11" spans="1:6" x14ac:dyDescent="0.35">
      <c r="A11" s="24" t="s">
        <v>230</v>
      </c>
      <c r="B11" s="22">
        <v>1</v>
      </c>
      <c r="C11" s="23">
        <v>4</v>
      </c>
      <c r="D11" s="24">
        <f>IFERROR(VLOOKUP(A11,[1]!TablaEquipos[#Data],2,FALSE),0)</f>
        <v>15000</v>
      </c>
      <c r="E11" s="25">
        <f t="shared" si="0"/>
        <v>60000</v>
      </c>
      <c r="F11" s="310"/>
    </row>
    <row r="12" spans="1:6" x14ac:dyDescent="0.35">
      <c r="A12" s="24" t="s">
        <v>393</v>
      </c>
      <c r="B12" s="22">
        <v>1</v>
      </c>
      <c r="C12" s="23"/>
      <c r="D12" s="24">
        <f>IFERROR(VLOOKUP(A12,[1]!TablaEquipos[#Data],2,FALSE),0)</f>
        <v>15000</v>
      </c>
      <c r="E12" s="25">
        <f>B12*D12</f>
        <v>15000</v>
      </c>
      <c r="F12" s="310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>
        <f>B14*C14*D14</f>
        <v>0</v>
      </c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366600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455</v>
      </c>
      <c r="B24" s="22">
        <v>75</v>
      </c>
      <c r="C24" s="29"/>
      <c r="D24" s="27">
        <f>IFERROR(VLOOKUP(A24,[1]!TablaMateriales[#Data],2,FALSE),0)</f>
        <v>38000</v>
      </c>
      <c r="E24" s="25">
        <f>B24*D24</f>
        <v>2850000</v>
      </c>
      <c r="F24" s="281"/>
    </row>
    <row r="25" spans="1:6" x14ac:dyDescent="0.35">
      <c r="A25" s="30" t="s">
        <v>427</v>
      </c>
      <c r="B25" s="29">
        <v>9</v>
      </c>
      <c r="C25" s="29"/>
      <c r="D25" s="27">
        <f>IFERROR(VLOOKUP(A25,[1]!TablaMateriales[#Data],2,FALSE),0)</f>
        <v>31000</v>
      </c>
      <c r="E25" s="25">
        <f>B25*D25</f>
        <v>279000</v>
      </c>
      <c r="F25" s="281"/>
    </row>
    <row r="26" spans="1:6" x14ac:dyDescent="0.35">
      <c r="A26" s="30" t="s">
        <v>409</v>
      </c>
      <c r="B26" s="29">
        <v>6</v>
      </c>
      <c r="C26" s="29"/>
      <c r="D26" s="27">
        <f>IFERROR(VLOOKUP(A26,[1]!TablaMateriales[#Data],2,FALSE),0)</f>
        <v>53000</v>
      </c>
      <c r="E26" s="25">
        <f>B26*D26</f>
        <v>318000</v>
      </c>
      <c r="F26" s="281"/>
    </row>
    <row r="27" spans="1:6" x14ac:dyDescent="0.35">
      <c r="A27" s="30" t="s">
        <v>387</v>
      </c>
      <c r="B27" s="29">
        <v>1.5</v>
      </c>
      <c r="C27" s="29"/>
      <c r="D27" s="27">
        <f>IFERROR(VLOOKUP(A27,[1]!TablaMateriales[#Data],2,FALSE),0)</f>
        <v>6000</v>
      </c>
      <c r="E27" s="25">
        <f>B27*D27</f>
        <v>9000</v>
      </c>
      <c r="F27" s="281"/>
    </row>
    <row r="28" spans="1:6" x14ac:dyDescent="0.35">
      <c r="A28" s="30" t="s">
        <v>349</v>
      </c>
      <c r="B28" s="78">
        <v>30</v>
      </c>
      <c r="C28" s="23"/>
      <c r="D28" s="27">
        <f>IFERROR(VLOOKUP(A28,[1]!TablaMateriales[#Data],2,FALSE),0)</f>
        <v>30000</v>
      </c>
      <c r="E28" s="25">
        <f>B28*D28</f>
        <v>900000</v>
      </c>
      <c r="F28" s="281"/>
    </row>
    <row r="29" spans="1:6" x14ac:dyDescent="0.35">
      <c r="A29" s="30" t="s">
        <v>253</v>
      </c>
      <c r="B29" s="78">
        <v>20</v>
      </c>
      <c r="C29" s="23"/>
      <c r="D29" s="27">
        <f>IFERROR(VLOOKUP(A29,[1]!TablaMateriales[#Data],2,FALSE),0)</f>
        <v>35000</v>
      </c>
      <c r="E29" s="25">
        <f t="shared" ref="E29:E35" si="1">B29*D29</f>
        <v>700000</v>
      </c>
      <c r="F29" s="281"/>
    </row>
    <row r="30" spans="1:6" x14ac:dyDescent="0.35">
      <c r="A30" s="30" t="s">
        <v>254</v>
      </c>
      <c r="B30" s="78">
        <v>20</v>
      </c>
      <c r="C30" s="23"/>
      <c r="D30" s="27">
        <f>IFERROR(VLOOKUP(A30,[1]!TablaMateriales[#Data],2,FALSE),0)</f>
        <v>20000</v>
      </c>
      <c r="E30" s="25">
        <f t="shared" si="1"/>
        <v>400000</v>
      </c>
      <c r="F30" s="281"/>
    </row>
    <row r="31" spans="1:6" x14ac:dyDescent="0.35">
      <c r="A31" s="30" t="s">
        <v>257</v>
      </c>
      <c r="B31" s="78">
        <v>3</v>
      </c>
      <c r="C31" s="23"/>
      <c r="D31" s="27">
        <f>IFERROR(VLOOKUP(A31,[1]!TablaMateriales[#Data],2,FALSE),0)</f>
        <v>9500</v>
      </c>
      <c r="E31" s="25">
        <f t="shared" si="1"/>
        <v>28500</v>
      </c>
      <c r="F31" s="281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5">
        <f t="shared" si="1"/>
        <v>0</v>
      </c>
      <c r="F32" s="281"/>
    </row>
    <row r="33" spans="1:6" x14ac:dyDescent="0.35">
      <c r="A33" s="30"/>
      <c r="B33" s="78"/>
      <c r="C33" s="23"/>
      <c r="D33" s="27">
        <f>IFERROR(VLOOKUP(A33,[1]!TablaMateriales[#Data],2,FALSE),0)</f>
        <v>0</v>
      </c>
      <c r="E33" s="25">
        <f t="shared" si="1"/>
        <v>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5484500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596</v>
      </c>
      <c r="B43" s="34">
        <v>1</v>
      </c>
      <c r="C43" s="35">
        <v>3.38</v>
      </c>
      <c r="D43" s="39">
        <f>IFERROR(VLOOKUP(A43,[1]!Tabla8[#Data],3,FALSE),0)</f>
        <v>555393.74067333317</v>
      </c>
      <c r="E43" s="37">
        <f>B43*C43*D43</f>
        <v>1877230.8434758661</v>
      </c>
      <c r="F43" s="281"/>
    </row>
    <row r="44" spans="1:6" x14ac:dyDescent="0.35">
      <c r="A44" s="107" t="s">
        <v>273</v>
      </c>
      <c r="B44" s="20">
        <v>1</v>
      </c>
      <c r="C44" s="40">
        <v>3.38</v>
      </c>
      <c r="D44" s="39">
        <f>IFERROR(VLOOKUP(A44,[1]!Tabla8[#Data],3,FALSE),0)</f>
        <v>555393.74067333317</v>
      </c>
      <c r="E44" s="21">
        <f t="shared" ref="E44:E50" si="2">B44*C44*D44</f>
        <v>1877230.8434758661</v>
      </c>
      <c r="F44" s="281"/>
    </row>
    <row r="45" spans="1:6" x14ac:dyDescent="0.35">
      <c r="A45" s="107" t="s">
        <v>277</v>
      </c>
      <c r="B45" s="20"/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/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/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>
        <v>6.77</v>
      </c>
      <c r="D48" s="39">
        <f>IFERROR(VLOOKUP(A48,[1]!Tabla8[#Data],3,FALSE),0)</f>
        <v>371571.3297066667</v>
      </c>
      <c r="E48" s="21">
        <f t="shared" si="2"/>
        <v>2515537.9021141334</v>
      </c>
      <c r="F48" s="281"/>
    </row>
    <row r="49" spans="1:6" x14ac:dyDescent="0.35">
      <c r="A49" s="107" t="s">
        <v>223</v>
      </c>
      <c r="B49" s="20">
        <v>1</v>
      </c>
      <c r="C49" s="35">
        <v>3.38</v>
      </c>
      <c r="D49" s="39">
        <f>IFERROR(VLOOKUP(A49,[1]!Tabla8[#Data],3,FALSE),0)</f>
        <v>355821.87609999999</v>
      </c>
      <c r="E49" s="21">
        <f>B49*C49*D49</f>
        <v>1202677.9412179999</v>
      </c>
      <c r="F49" s="281"/>
    </row>
    <row r="50" spans="1:6" x14ac:dyDescent="0.35">
      <c r="A50" s="107" t="s">
        <v>275</v>
      </c>
      <c r="B50" s="20">
        <v>3</v>
      </c>
      <c r="C50" s="40">
        <v>6.77</v>
      </c>
      <c r="D50" s="39">
        <f>IFERROR(VLOOKUP(A50,[1]!Tabla8[#Data],3,FALSE),0)</f>
        <v>382109.06042666658</v>
      </c>
      <c r="E50" s="21">
        <f t="shared" si="2"/>
        <v>7760635.0172655974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15233312.547549464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08">
        <v>2</v>
      </c>
      <c r="D53" s="108">
        <f>IFERROR(VLOOKUP(A53,[1]!TablaTransporte[#Data],2,FALSE),0)</f>
        <v>550000</v>
      </c>
      <c r="E53" s="110">
        <f>B53*C53*D53</f>
        <v>1100000</v>
      </c>
      <c r="F53" s="284"/>
    </row>
    <row r="54" spans="1:6" x14ac:dyDescent="0.35">
      <c r="A54" s="108" t="s">
        <v>381</v>
      </c>
      <c r="B54" s="108">
        <v>1</v>
      </c>
      <c r="C54" s="108">
        <v>1</v>
      </c>
      <c r="D54" s="108">
        <f>IFERROR(VLOOKUP(A54,[1]!TablaTransporte[#Data],2,FALSE),0)</f>
        <v>600000</v>
      </c>
      <c r="E54" s="108">
        <f>B54*C54*D54</f>
        <v>600000</v>
      </c>
      <c r="F54" s="284"/>
    </row>
    <row r="55" spans="1:6" x14ac:dyDescent="0.35">
      <c r="A55" s="108" t="s">
        <v>295</v>
      </c>
      <c r="B55" s="108">
        <v>1</v>
      </c>
      <c r="C55" s="166">
        <v>0.33</v>
      </c>
      <c r="D55" s="108">
        <f>IFERROR(VLOOKUP(A55,[1]!TablaTransporte[#Data],2,FALSE),0)</f>
        <v>1250000</v>
      </c>
      <c r="E55" s="108">
        <f>B55*C55*D55</f>
        <v>412500</v>
      </c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600000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21684412.547549464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21684412.547549464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21684412.547549464</v>
      </c>
    </row>
    <row r="63" spans="1:6" x14ac:dyDescent="0.35">
      <c r="F63" s="224">
        <f>F62/F3</f>
        <v>1548886.6105392475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BB29B6AE-EBCD-40CC-A8CB-ECEE56991F39}">
      <formula1>ListaMateriales</formula1>
    </dataValidation>
    <dataValidation type="list" allowBlank="1" showInputMessage="1" showErrorMessage="1" sqref="A3:A22" xr:uid="{EEDB8F74-CD59-4506-BD7F-2CADE5C438F2}">
      <formula1>ListaEquipos</formula1>
    </dataValidation>
    <dataValidation type="list" allowBlank="1" showInputMessage="1" showErrorMessage="1" sqref="A54:A56" xr:uid="{935D3B52-B910-4D0F-814A-CA5469B740FD}">
      <formula1>ListaTransporte</formula1>
    </dataValidation>
    <dataValidation type="list" allowBlank="1" showInputMessage="1" showErrorMessage="1" sqref="A43:A50" xr:uid="{6B71133B-0C72-409C-B41A-1FC070DB9AD2}">
      <formula1>ListaProfesiones</formula1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65CB-E1FB-445A-9F00-C2EB4D5B5577}">
  <sheetPr>
    <tabColor rgb="FF00B050"/>
  </sheetPr>
  <dimension ref="A1:F44"/>
  <sheetViews>
    <sheetView workbookViewId="0">
      <selection activeCell="A14" sqref="A14:A16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198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ACTUALIZADO'!C45</f>
        <v>KG</v>
      </c>
    </row>
    <row r="3" spans="1:6" x14ac:dyDescent="0.35">
      <c r="A3" s="33"/>
      <c r="B3" s="34"/>
      <c r="C3" s="45"/>
      <c r="D3" s="46"/>
      <c r="E3" s="37"/>
      <c r="F3" s="77">
        <f>'RESUMEN ACTUALIZADO'!D45</f>
        <v>356</v>
      </c>
    </row>
    <row r="4" spans="1:6" x14ac:dyDescent="0.35">
      <c r="A4" s="24" t="s">
        <v>342</v>
      </c>
      <c r="B4" s="22">
        <v>1</v>
      </c>
      <c r="C4" s="23">
        <v>2</v>
      </c>
      <c r="D4" s="24">
        <f>IFERROR(VLOOKUP(A4,[1]!TablaEquipos[#Data],2,FALSE),0)</f>
        <v>15000</v>
      </c>
      <c r="E4" s="25">
        <f t="shared" ref="E4:E10" si="0">B4*C4*D4</f>
        <v>30000</v>
      </c>
      <c r="F4" s="62"/>
    </row>
    <row r="5" spans="1:6" x14ac:dyDescent="0.35">
      <c r="A5" s="26" t="s">
        <v>659</v>
      </c>
      <c r="B5" s="22">
        <v>1</v>
      </c>
      <c r="C5" s="23">
        <v>2</v>
      </c>
      <c r="D5" s="24">
        <f>IFERROR(VLOOKUP(A5,[1]!TablaEquipos[#Data],2,FALSE),0)</f>
        <v>3000</v>
      </c>
      <c r="E5" s="25">
        <f t="shared" si="0"/>
        <v>6000</v>
      </c>
      <c r="F5" s="62"/>
    </row>
    <row r="6" spans="1:6" x14ac:dyDescent="0.35">
      <c r="A6" s="26" t="s">
        <v>393</v>
      </c>
      <c r="B6" s="22">
        <v>1</v>
      </c>
      <c r="C6" s="23">
        <v>2</v>
      </c>
      <c r="D6" s="24">
        <f>IFERROR(VLOOKUP(A6,[1]!TablaEquipos[#Data],2,FALSE),0)</f>
        <v>15000</v>
      </c>
      <c r="E6" s="25">
        <f t="shared" si="0"/>
        <v>30000</v>
      </c>
      <c r="F6" s="62"/>
    </row>
    <row r="7" spans="1:6" x14ac:dyDescent="0.35">
      <c r="A7" s="24" t="s">
        <v>660</v>
      </c>
      <c r="B7" s="22">
        <v>1</v>
      </c>
      <c r="C7" s="23">
        <v>2</v>
      </c>
      <c r="D7" s="24">
        <f>IFERROR(VLOOKUP(A7,[1]!TablaEquipos[#Data],2,FALSE),0)</f>
        <v>3000</v>
      </c>
      <c r="E7" s="25">
        <f t="shared" si="0"/>
        <v>6000</v>
      </c>
      <c r="F7" s="62"/>
    </row>
    <row r="8" spans="1:6" x14ac:dyDescent="0.35">
      <c r="A8" s="26" t="s">
        <v>432</v>
      </c>
      <c r="B8" s="22">
        <v>1</v>
      </c>
      <c r="C8" s="23">
        <v>2</v>
      </c>
      <c r="D8" s="24">
        <f>IFERROR(VLOOKUP(A8,[1]!TablaEquipos[#Data],2,FALSE),0)</f>
        <v>500</v>
      </c>
      <c r="E8" s="25">
        <f t="shared" si="0"/>
        <v>1000</v>
      </c>
      <c r="F8" s="62"/>
    </row>
    <row r="9" spans="1:6" x14ac:dyDescent="0.35">
      <c r="A9" s="24" t="s">
        <v>661</v>
      </c>
      <c r="B9" s="22">
        <v>2</v>
      </c>
      <c r="C9" s="23">
        <v>2</v>
      </c>
      <c r="D9" s="24">
        <f>IFERROR(VLOOKUP(A9,[1]!TablaEquipos[#Data],2,FALSE),0)</f>
        <v>1000</v>
      </c>
      <c r="E9" s="25">
        <f t="shared" si="0"/>
        <v>4000</v>
      </c>
      <c r="F9" s="62"/>
    </row>
    <row r="10" spans="1:6" x14ac:dyDescent="0.35">
      <c r="A10" s="81"/>
      <c r="B10" s="82"/>
      <c r="C10" s="32"/>
      <c r="D10" s="81">
        <f>IFERROR(VLOOKUP(A10,[1]!TablaEquipos[#Data],2,FALSE),0)</f>
        <v>0</v>
      </c>
      <c r="E10" s="83">
        <f t="shared" si="0"/>
        <v>0</v>
      </c>
      <c r="F10" s="62"/>
    </row>
    <row r="11" spans="1:6" x14ac:dyDescent="0.35">
      <c r="A11" s="24"/>
      <c r="B11" s="22"/>
      <c r="C11" s="23"/>
      <c r="D11" s="24">
        <f>IFERROR(VLOOKUP(A11,[1]!TablaEquipos[#Data],2,FALSE),0)</f>
        <v>0</v>
      </c>
      <c r="E11" s="25"/>
      <c r="F11" s="62"/>
    </row>
    <row r="12" spans="1:6" ht="15" thickBot="1" x14ac:dyDescent="0.4">
      <c r="A12" s="294"/>
      <c r="B12" s="295"/>
      <c r="C12" s="295"/>
      <c r="D12" s="295"/>
      <c r="E12" s="295"/>
      <c r="F12" s="84">
        <f>SUM(E4:E11)</f>
        <v>77000</v>
      </c>
    </row>
    <row r="13" spans="1:6" x14ac:dyDescent="0.35">
      <c r="A13" s="33" t="s">
        <v>270</v>
      </c>
      <c r="B13" s="34" t="s">
        <v>83</v>
      </c>
      <c r="C13" s="45" t="s">
        <v>84</v>
      </c>
      <c r="D13" s="46" t="s">
        <v>269</v>
      </c>
      <c r="E13" s="37" t="s">
        <v>86</v>
      </c>
      <c r="F13" s="168"/>
    </row>
    <row r="14" spans="1:6" x14ac:dyDescent="0.35">
      <c r="A14" s="24" t="s">
        <v>662</v>
      </c>
      <c r="B14" s="22">
        <v>380</v>
      </c>
      <c r="C14" s="29"/>
      <c r="D14" s="27">
        <f>IFERROR(VLOOKUP(A14,[1]!TablaMateriales[#Data],2,FALSE),0)</f>
        <v>6350</v>
      </c>
      <c r="E14" s="25">
        <f t="shared" ref="E14:E19" si="1">B14*D14</f>
        <v>2413000</v>
      </c>
      <c r="F14" s="155"/>
    </row>
    <row r="15" spans="1:6" x14ac:dyDescent="0.35">
      <c r="A15" s="30" t="s">
        <v>308</v>
      </c>
      <c r="B15" s="22">
        <v>8</v>
      </c>
      <c r="C15" s="29"/>
      <c r="D15" s="27">
        <f>IFERROR(VLOOKUP(A15,[1]!TablaMateriales[#Data],2,FALSE),0)</f>
        <v>7592</v>
      </c>
      <c r="E15" s="25">
        <f t="shared" si="1"/>
        <v>60736</v>
      </c>
      <c r="F15" s="155"/>
    </row>
    <row r="16" spans="1:6" x14ac:dyDescent="0.35">
      <c r="A16" s="30" t="s">
        <v>261</v>
      </c>
      <c r="B16" s="29">
        <v>0.3</v>
      </c>
      <c r="C16" s="29"/>
      <c r="D16" s="27">
        <f>IFERROR(VLOOKUP(A16,[1]!TablaMateriales[#Data],2,FALSE),0)</f>
        <v>55000</v>
      </c>
      <c r="E16" s="25">
        <f t="shared" si="1"/>
        <v>16500</v>
      </c>
      <c r="F16" s="155"/>
    </row>
    <row r="17" spans="1:6" x14ac:dyDescent="0.35">
      <c r="A17" s="30"/>
      <c r="B17" s="22"/>
      <c r="C17" s="29"/>
      <c r="D17" s="27">
        <f>IFERROR(VLOOKUP(A17,[1]!TablaMateriales[#Data],2,FALSE),0)</f>
        <v>0</v>
      </c>
      <c r="E17" s="25">
        <f t="shared" si="1"/>
        <v>0</v>
      </c>
      <c r="F17" s="155"/>
    </row>
    <row r="18" spans="1:6" x14ac:dyDescent="0.35">
      <c r="A18" s="30"/>
      <c r="B18" s="78"/>
      <c r="C18" s="23"/>
      <c r="D18" s="27">
        <f>IFERROR(VLOOKUP(A18,[1]!TablaMateriales[#Data],2,FALSE),0)</f>
        <v>0</v>
      </c>
      <c r="E18" s="25">
        <f t="shared" si="1"/>
        <v>0</v>
      </c>
      <c r="F18" s="155"/>
    </row>
    <row r="19" spans="1:6" x14ac:dyDescent="0.35">
      <c r="A19" s="30"/>
      <c r="B19" s="78"/>
      <c r="C19" s="23"/>
      <c r="D19" s="27">
        <f>IFERROR(VLOOKUP(A19,[1]!TablaMateriales[#Data],2,FALSE),0)</f>
        <v>0</v>
      </c>
      <c r="E19" s="25">
        <f t="shared" si="1"/>
        <v>0</v>
      </c>
      <c r="F19" s="155"/>
    </row>
    <row r="20" spans="1:6" x14ac:dyDescent="0.35">
      <c r="A20" s="31"/>
      <c r="B20" s="78"/>
      <c r="C20" s="23"/>
      <c r="D20" s="27">
        <f>IFERROR(VLOOKUP(A20,[1]!TablaMateriales[#Data],2,FALSE),0)</f>
        <v>0</v>
      </c>
      <c r="E20" s="27"/>
      <c r="F20" s="173"/>
    </row>
    <row r="21" spans="1:6" ht="15" thickBot="1" x14ac:dyDescent="0.4">
      <c r="A21" s="31"/>
      <c r="B21" s="78"/>
      <c r="C21" s="23"/>
      <c r="D21" s="27">
        <f>IFERROR(VLOOKUP(A21,[1]!TablaMateriales[#Data],2,FALSE),0)</f>
        <v>0</v>
      </c>
      <c r="E21" s="27"/>
      <c r="F21" s="173"/>
    </row>
    <row r="22" spans="1:6" ht="15" thickBot="1" x14ac:dyDescent="0.4">
      <c r="A22" s="296"/>
      <c r="B22" s="297"/>
      <c r="C22" s="297"/>
      <c r="D22" s="297"/>
      <c r="E22" s="298"/>
      <c r="F22" s="28">
        <f>SUM(E14:E21)</f>
        <v>2490236</v>
      </c>
    </row>
    <row r="23" spans="1:6" x14ac:dyDescent="0.35">
      <c r="A23" s="33" t="s">
        <v>88</v>
      </c>
      <c r="B23" s="34" t="s">
        <v>83</v>
      </c>
      <c r="C23" s="35" t="s">
        <v>84</v>
      </c>
      <c r="D23" s="36" t="s">
        <v>89</v>
      </c>
      <c r="E23" s="37" t="s">
        <v>86</v>
      </c>
      <c r="F23" s="280"/>
    </row>
    <row r="24" spans="1:6" x14ac:dyDescent="0.35">
      <c r="A24" s="38" t="s">
        <v>596</v>
      </c>
      <c r="B24" s="34">
        <v>1</v>
      </c>
      <c r="C24" s="35">
        <v>1.51</v>
      </c>
      <c r="D24" s="39">
        <f>IFERROR(VLOOKUP(A24,[1]!Tabla8[#Data],3,FALSE),0)</f>
        <v>555393.74067333317</v>
      </c>
      <c r="E24" s="37">
        <f>B24*C24*D24</f>
        <v>838644.54841673304</v>
      </c>
      <c r="F24" s="281"/>
    </row>
    <row r="25" spans="1:6" x14ac:dyDescent="0.35">
      <c r="A25" s="107" t="s">
        <v>640</v>
      </c>
      <c r="B25" s="20">
        <v>1</v>
      </c>
      <c r="C25" s="35">
        <v>1.51</v>
      </c>
      <c r="D25" s="39">
        <f>IFERROR(VLOOKUP(A25,[1]!Tabla8[#Data],3,FALSE),0)</f>
        <v>555393.74067333317</v>
      </c>
      <c r="E25" s="21">
        <f t="shared" ref="E25:E31" si="2">B25*C25*D25</f>
        <v>838644.54841673304</v>
      </c>
      <c r="F25" s="281"/>
    </row>
    <row r="26" spans="1:6" ht="24" x14ac:dyDescent="0.35">
      <c r="A26" s="107" t="s">
        <v>645</v>
      </c>
      <c r="B26" s="20">
        <v>1</v>
      </c>
      <c r="C26" s="35">
        <v>1.51</v>
      </c>
      <c r="D26" s="39">
        <f>IFERROR(VLOOKUP(A26,[1]!Tabla8[#Data],3,FALSE),0)</f>
        <v>355821.87609999999</v>
      </c>
      <c r="E26" s="21">
        <f>B26*C26*D26</f>
        <v>537291.03291099996</v>
      </c>
      <c r="F26" s="281"/>
    </row>
    <row r="27" spans="1:6" x14ac:dyDescent="0.35">
      <c r="A27" s="107" t="s">
        <v>644</v>
      </c>
      <c r="B27" s="20">
        <v>1</v>
      </c>
      <c r="C27" s="35">
        <v>3.02</v>
      </c>
      <c r="D27" s="39">
        <f>IFERROR(VLOOKUP(A27,[1]!Tabla8[#Data],3,FALSE),0)</f>
        <v>371571.3297066667</v>
      </c>
      <c r="E27" s="21">
        <f>B27*C27*D27</f>
        <v>1122145.4157141335</v>
      </c>
      <c r="F27" s="281"/>
    </row>
    <row r="28" spans="1:6" ht="24" x14ac:dyDescent="0.35">
      <c r="A28" s="107" t="s">
        <v>611</v>
      </c>
      <c r="B28" s="20">
        <v>3</v>
      </c>
      <c r="C28" s="35">
        <v>3.02</v>
      </c>
      <c r="D28" s="39">
        <f>IFERROR(VLOOKUP(A28,[1]!Tabla8[#Data],3,FALSE),0)</f>
        <v>355821.87609999999</v>
      </c>
      <c r="E28" s="21">
        <f>B28*C28*D28</f>
        <v>3223746.197466</v>
      </c>
      <c r="F28" s="281"/>
    </row>
    <row r="29" spans="1:6" x14ac:dyDescent="0.35">
      <c r="A29" s="107"/>
      <c r="B29" s="20"/>
      <c r="C29" s="35"/>
      <c r="D29" s="39">
        <f>IFERROR(VLOOKUP(A29,[1]!Tabla8[#Data],3,FALSE),0)</f>
        <v>0</v>
      </c>
      <c r="E29" s="21">
        <f t="shared" si="2"/>
        <v>0</v>
      </c>
      <c r="F29" s="281"/>
    </row>
    <row r="30" spans="1:6" x14ac:dyDescent="0.35">
      <c r="A30" s="107"/>
      <c r="B30" s="20"/>
      <c r="C30" s="35"/>
      <c r="D30" s="39">
        <f>IFERROR(VLOOKUP(A30,[1]!Tabla8[#Data],3,FALSE),0)</f>
        <v>0</v>
      </c>
      <c r="E30" s="21">
        <f>B30*C30*D30</f>
        <v>0</v>
      </c>
      <c r="F30" s="281"/>
    </row>
    <row r="31" spans="1:6" x14ac:dyDescent="0.35">
      <c r="A31" s="107"/>
      <c r="B31" s="20"/>
      <c r="C31" s="40"/>
      <c r="D31" s="39">
        <f>IFERROR(VLOOKUP(A31,[1]!Tabla8[#Data],3,FALSE),0)</f>
        <v>0</v>
      </c>
      <c r="E31" s="21">
        <f t="shared" si="2"/>
        <v>0</v>
      </c>
      <c r="F31" s="281"/>
    </row>
    <row r="32" spans="1:6" x14ac:dyDescent="0.35">
      <c r="A32" s="287">
        <v>3</v>
      </c>
      <c r="B32" s="287"/>
      <c r="C32" s="287"/>
      <c r="D32" s="287"/>
      <c r="E32" s="287"/>
      <c r="F32" s="42">
        <f>SUM(E24:E31)</f>
        <v>6560471.742924599</v>
      </c>
    </row>
    <row r="33" spans="1:6" x14ac:dyDescent="0.35">
      <c r="A33" s="33" t="s">
        <v>279</v>
      </c>
      <c r="B33" s="34" t="s">
        <v>83</v>
      </c>
      <c r="C33" s="35" t="s">
        <v>84</v>
      </c>
      <c r="D33" s="36" t="s">
        <v>269</v>
      </c>
      <c r="E33" s="37" t="s">
        <v>86</v>
      </c>
      <c r="F33" s="283"/>
    </row>
    <row r="34" spans="1:6" x14ac:dyDescent="0.35">
      <c r="A34" s="108" t="s">
        <v>240</v>
      </c>
      <c r="B34" s="166">
        <v>1</v>
      </c>
      <c r="C34" s="166">
        <v>0.4</v>
      </c>
      <c r="D34" s="108">
        <f>IFERROR(VLOOKUP(A34,[1]!TablaTransporte[#Data],2,FALSE),0)</f>
        <v>550000</v>
      </c>
      <c r="E34" s="108">
        <f>B34*C34*D34</f>
        <v>220000</v>
      </c>
      <c r="F34" s="284"/>
    </row>
    <row r="35" spans="1:6" x14ac:dyDescent="0.35">
      <c r="A35" s="108" t="s">
        <v>381</v>
      </c>
      <c r="B35" s="108">
        <v>1</v>
      </c>
      <c r="C35" s="166">
        <v>0.5</v>
      </c>
      <c r="D35" s="108">
        <f>IFERROR(VLOOKUP(A35,[1]!TablaTransporte[#Data],2,FALSE),0)</f>
        <v>600000</v>
      </c>
      <c r="E35" s="108">
        <f>B35*C35*D35</f>
        <v>300000</v>
      </c>
      <c r="F35" s="284"/>
    </row>
    <row r="36" spans="1:6" x14ac:dyDescent="0.35">
      <c r="A36" s="108"/>
      <c r="B36" s="108"/>
      <c r="C36" s="108"/>
      <c r="D36" s="108">
        <f>IFERROR(VLOOKUP(A36,[1]!TablaTransporte[#Data],2,FALSE),0)</f>
        <v>0</v>
      </c>
      <c r="E36" s="108">
        <f>B36*C36*D36</f>
        <v>0</v>
      </c>
      <c r="F36" s="284"/>
    </row>
    <row r="37" spans="1:6" x14ac:dyDescent="0.35">
      <c r="A37" s="108"/>
      <c r="B37" s="108"/>
      <c r="C37" s="108"/>
      <c r="D37" s="108">
        <f>IFERROR(VLOOKUP(A37,[1]!TablaTransporte[#Data],2,FALSE),0)</f>
        <v>0</v>
      </c>
      <c r="E37" s="108">
        <f>B37*C37*D37</f>
        <v>0</v>
      </c>
      <c r="F37" s="285"/>
    </row>
    <row r="38" spans="1:6" x14ac:dyDescent="0.35">
      <c r="A38" s="43"/>
      <c r="B38" s="43"/>
      <c r="C38" s="43"/>
      <c r="D38" s="43"/>
      <c r="E38" s="43"/>
      <c r="F38" s="42">
        <f>E35</f>
        <v>300000</v>
      </c>
    </row>
    <row r="39" spans="1:6" x14ac:dyDescent="0.35">
      <c r="A39" s="288"/>
      <c r="B39" s="289"/>
      <c r="C39" s="289"/>
      <c r="D39" s="289"/>
      <c r="E39" s="290"/>
      <c r="F39" s="42">
        <f>F12+F22+F32+F38</f>
        <v>9427707.742924599</v>
      </c>
    </row>
    <row r="40" spans="1:6" ht="15" thickBot="1" x14ac:dyDescent="0.4">
      <c r="A40" s="291"/>
      <c r="B40" s="292"/>
      <c r="C40" s="292"/>
      <c r="D40" s="292"/>
      <c r="E40" s="293"/>
      <c r="F40" s="44">
        <f>F39*A40</f>
        <v>0</v>
      </c>
    </row>
    <row r="41" spans="1:6" ht="15" thickBot="1" x14ac:dyDescent="0.4">
      <c r="A41" s="299"/>
      <c r="B41" s="300"/>
      <c r="C41" s="300"/>
      <c r="D41" s="300"/>
      <c r="E41" s="301"/>
      <c r="F41" s="28">
        <f>F39+F40</f>
        <v>9427707.742924599</v>
      </c>
    </row>
    <row r="42" spans="1:6" ht="15" thickBot="1" x14ac:dyDescent="0.4">
      <c r="A42" s="302"/>
      <c r="B42" s="300"/>
      <c r="C42" s="300"/>
      <c r="D42" s="300"/>
      <c r="E42" s="301"/>
      <c r="F42" s="28">
        <f>F41*A42</f>
        <v>0</v>
      </c>
    </row>
    <row r="43" spans="1:6" ht="15" thickBot="1" x14ac:dyDescent="0.4">
      <c r="A43" s="286"/>
      <c r="B43" s="286"/>
      <c r="C43" s="286"/>
      <c r="D43" s="286"/>
      <c r="E43" s="286"/>
      <c r="F43" s="28">
        <f>F41+F42</f>
        <v>9427707.742924599</v>
      </c>
    </row>
    <row r="44" spans="1:6" x14ac:dyDescent="0.35">
      <c r="F44" s="224">
        <f>F43/F3</f>
        <v>26482.325120574715</v>
      </c>
    </row>
  </sheetData>
  <mergeCells count="11">
    <mergeCell ref="A43:E43"/>
    <mergeCell ref="F23:F31"/>
    <mergeCell ref="A32:E32"/>
    <mergeCell ref="F33:F37"/>
    <mergeCell ref="A39:E39"/>
    <mergeCell ref="A40:E40"/>
    <mergeCell ref="A22:E22"/>
    <mergeCell ref="A1:F1"/>
    <mergeCell ref="A12:E12"/>
    <mergeCell ref="A41:E41"/>
    <mergeCell ref="A42:E42"/>
  </mergeCells>
  <dataValidations count="4">
    <dataValidation type="list" allowBlank="1" showInputMessage="1" showErrorMessage="1" sqref="A34:A37" xr:uid="{2B9EF91C-B972-4EA4-8518-D31A139ED6D6}">
      <formula1>ListaTransporte</formula1>
    </dataValidation>
    <dataValidation type="list" allowBlank="1" showInputMessage="1" showErrorMessage="1" sqref="A24:A31" xr:uid="{B68DAC34-ED51-4601-9925-FE01E57A98F5}">
      <formula1>ListaProfesiones</formula1>
    </dataValidation>
    <dataValidation type="list" allowBlank="1" showInputMessage="1" showErrorMessage="1" sqref="A3:A12" xr:uid="{C286A71B-039B-446D-B3AC-CBDCEBE69954}">
      <formula1>ListaEquipos</formula1>
    </dataValidation>
    <dataValidation type="list" allowBlank="1" showInputMessage="1" showErrorMessage="1" sqref="A14:A22" xr:uid="{E5D37CCF-10F4-4C77-BD0B-B32A90A5A242}">
      <formula1>ListaMateriales</formula1>
    </dataValidation>
  </dataValidation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B6F6D-9723-4CCD-9A2B-687C39E5B51E}">
  <sheetPr>
    <tabColor rgb="FF00B050"/>
  </sheetPr>
  <dimension ref="A1:F48"/>
  <sheetViews>
    <sheetView topLeftCell="A31" workbookViewId="0">
      <selection activeCell="A38" sqref="A38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199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ACTUALIZADO'!C46</f>
        <v>KG</v>
      </c>
    </row>
    <row r="3" spans="1:6" x14ac:dyDescent="0.35">
      <c r="A3" s="33"/>
      <c r="B3" s="34"/>
      <c r="C3" s="45"/>
      <c r="D3" s="46"/>
      <c r="E3" s="37"/>
      <c r="F3" s="77">
        <f>'RESUMEN ACTUALIZADO'!D46</f>
        <v>16</v>
      </c>
    </row>
    <row r="4" spans="1:6" x14ac:dyDescent="0.35">
      <c r="A4" s="24" t="s">
        <v>342</v>
      </c>
      <c r="B4" s="22">
        <v>1</v>
      </c>
      <c r="C4" s="23">
        <v>0.5</v>
      </c>
      <c r="D4" s="24">
        <f>IFERROR(VLOOKUP(A4,[1]!TablaEquipos[#Data],2,FALSE),0)</f>
        <v>15000</v>
      </c>
      <c r="E4" s="25">
        <f t="shared" ref="E4:E11" si="0">B4*C4*D4</f>
        <v>7500</v>
      </c>
      <c r="F4" s="62"/>
    </row>
    <row r="5" spans="1:6" x14ac:dyDescent="0.35">
      <c r="A5" s="26" t="s">
        <v>659</v>
      </c>
      <c r="B5" s="22">
        <v>1</v>
      </c>
      <c r="C5" s="23">
        <v>0.5</v>
      </c>
      <c r="D5" s="24">
        <f>IFERROR(VLOOKUP(A5,[1]!TablaEquipos[#Data],2,FALSE),0)</f>
        <v>3000</v>
      </c>
      <c r="E5" s="25">
        <f t="shared" si="0"/>
        <v>1500</v>
      </c>
      <c r="F5" s="62"/>
    </row>
    <row r="6" spans="1:6" x14ac:dyDescent="0.35">
      <c r="A6" s="26" t="s">
        <v>393</v>
      </c>
      <c r="B6" s="22">
        <v>1</v>
      </c>
      <c r="C6" s="23">
        <v>0.5</v>
      </c>
      <c r="D6" s="24">
        <f>IFERROR(VLOOKUP(A6,[1]!TablaEquipos[#Data],2,FALSE),0)</f>
        <v>15000</v>
      </c>
      <c r="E6" s="25">
        <f t="shared" si="0"/>
        <v>7500</v>
      </c>
      <c r="F6" s="62"/>
    </row>
    <row r="7" spans="1:6" x14ac:dyDescent="0.35">
      <c r="A7" s="24" t="s">
        <v>660</v>
      </c>
      <c r="B7" s="22">
        <v>1</v>
      </c>
      <c r="C7" s="23">
        <v>0.5</v>
      </c>
      <c r="D7" s="24">
        <f>IFERROR(VLOOKUP(A7,[1]!TablaEquipos[#Data],2,FALSE),0)</f>
        <v>3000</v>
      </c>
      <c r="E7" s="25">
        <f t="shared" si="0"/>
        <v>1500</v>
      </c>
      <c r="F7" s="62"/>
    </row>
    <row r="8" spans="1:6" x14ac:dyDescent="0.35">
      <c r="A8" s="26" t="s">
        <v>432</v>
      </c>
      <c r="B8" s="22">
        <v>1</v>
      </c>
      <c r="C8" s="23">
        <v>0.5</v>
      </c>
      <c r="D8" s="24">
        <f>IFERROR(VLOOKUP(A8,[1]!TablaEquipos[#Data],2,FALSE),0)</f>
        <v>500</v>
      </c>
      <c r="E8" s="25">
        <f t="shared" si="0"/>
        <v>250</v>
      </c>
      <c r="F8" s="62"/>
    </row>
    <row r="9" spans="1:6" x14ac:dyDescent="0.35">
      <c r="A9" s="24" t="s">
        <v>661</v>
      </c>
      <c r="B9" s="22">
        <v>2</v>
      </c>
      <c r="C9" s="23">
        <v>0.5</v>
      </c>
      <c r="D9" s="24">
        <f>IFERROR(VLOOKUP(A9,[1]!TablaEquipos[#Data],2,FALSE),0)</f>
        <v>1000</v>
      </c>
      <c r="E9" s="25">
        <f t="shared" si="0"/>
        <v>1000</v>
      </c>
      <c r="F9" s="62"/>
    </row>
    <row r="10" spans="1:6" x14ac:dyDescent="0.35">
      <c r="A10" s="81" t="s">
        <v>658</v>
      </c>
      <c r="B10" s="82">
        <v>2</v>
      </c>
      <c r="C10" s="23">
        <v>0.5</v>
      </c>
      <c r="D10" s="81">
        <f>IFERROR(VLOOKUP(A10,[1]!TablaEquipos[#Data],2,FALSE),0)</f>
        <v>9000</v>
      </c>
      <c r="E10" s="83">
        <f t="shared" si="0"/>
        <v>9000</v>
      </c>
      <c r="F10" s="62"/>
    </row>
    <row r="11" spans="1:6" x14ac:dyDescent="0.35">
      <c r="A11" s="24" t="s">
        <v>234</v>
      </c>
      <c r="B11" s="22">
        <v>2</v>
      </c>
      <c r="C11" s="23">
        <v>0.5</v>
      </c>
      <c r="D11" s="24">
        <f>IFERROR(VLOOKUP(A11,[1]!TablaEquipos[#Data],2,FALSE),0)</f>
        <v>135000</v>
      </c>
      <c r="E11" s="25">
        <f t="shared" si="0"/>
        <v>135000</v>
      </c>
      <c r="F11" s="62"/>
    </row>
    <row r="12" spans="1:6" x14ac:dyDescent="0.35">
      <c r="A12" s="24" t="s">
        <v>236</v>
      </c>
      <c r="B12" s="22">
        <v>1</v>
      </c>
      <c r="C12" s="23">
        <v>0.5</v>
      </c>
      <c r="D12" s="24">
        <f>IFERROR(VLOOKUP(A12,[1]!TablaEquipos[#Data],2,FALSE),0)</f>
        <v>9000</v>
      </c>
      <c r="E12" s="25">
        <f>B12*D12</f>
        <v>9000</v>
      </c>
      <c r="F12" s="62"/>
    </row>
    <row r="13" spans="1:6" x14ac:dyDescent="0.35">
      <c r="A13" s="24" t="s">
        <v>651</v>
      </c>
      <c r="B13" s="22">
        <v>1</v>
      </c>
      <c r="C13" s="23">
        <v>0.5</v>
      </c>
      <c r="D13" s="24">
        <f>IFERROR(VLOOKUP(A13,[1]!TablaEquipos[#Data],2,FALSE),0)</f>
        <v>40000</v>
      </c>
      <c r="E13" s="25">
        <f>B13*C13*D13</f>
        <v>20000</v>
      </c>
      <c r="F13" s="62"/>
    </row>
    <row r="14" spans="1:6" x14ac:dyDescent="0.35">
      <c r="A14" s="24" t="s">
        <v>653</v>
      </c>
      <c r="B14" s="22">
        <v>1</v>
      </c>
      <c r="C14" s="23">
        <v>0.5</v>
      </c>
      <c r="D14" s="24">
        <f>IFERROR(VLOOKUP(A14,[1]!TablaEquipos[#Data],2,FALSE),0)</f>
        <v>40000</v>
      </c>
      <c r="E14" s="25">
        <f>B14*C14*D14</f>
        <v>20000</v>
      </c>
      <c r="F14" s="62"/>
    </row>
    <row r="15" spans="1:6" x14ac:dyDescent="0.35">
      <c r="A15" s="24" t="s">
        <v>654</v>
      </c>
      <c r="B15" s="22">
        <v>1</v>
      </c>
      <c r="C15" s="23">
        <v>0.5</v>
      </c>
      <c r="D15" s="24">
        <f>IFERROR(VLOOKUP(A15,[1]!TablaEquipos[#Data],2,FALSE),0)</f>
        <v>15000</v>
      </c>
      <c r="E15" s="25">
        <f>B15*C15*D15</f>
        <v>7500</v>
      </c>
      <c r="F15" s="62"/>
    </row>
    <row r="16" spans="1:6" x14ac:dyDescent="0.35">
      <c r="A16" s="24" t="s">
        <v>652</v>
      </c>
      <c r="B16" s="22">
        <v>1</v>
      </c>
      <c r="C16" s="23">
        <v>0.5</v>
      </c>
      <c r="D16" s="24">
        <f>IFERROR(VLOOKUP(A16,[1]!TablaEquipos[#Data],2,FALSE),0)</f>
        <v>200000</v>
      </c>
      <c r="E16" s="25">
        <f>B16*C16*D16</f>
        <v>100000</v>
      </c>
      <c r="F16" s="62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62"/>
    </row>
    <row r="18" spans="1:6" ht="15" thickBot="1" x14ac:dyDescent="0.4">
      <c r="A18" s="294"/>
      <c r="B18" s="295"/>
      <c r="C18" s="295"/>
      <c r="D18" s="295"/>
      <c r="E18" s="295"/>
      <c r="F18" s="84">
        <f>SUM(E4:E17)</f>
        <v>319750</v>
      </c>
    </row>
    <row r="19" spans="1:6" x14ac:dyDescent="0.35">
      <c r="A19" s="33" t="s">
        <v>270</v>
      </c>
      <c r="B19" s="34" t="s">
        <v>83</v>
      </c>
      <c r="C19" s="45" t="s">
        <v>84</v>
      </c>
      <c r="D19" s="46" t="s">
        <v>269</v>
      </c>
      <c r="E19" s="37" t="s">
        <v>86</v>
      </c>
      <c r="F19" s="168"/>
    </row>
    <row r="20" spans="1:6" x14ac:dyDescent="0.35">
      <c r="A20" s="24" t="s">
        <v>662</v>
      </c>
      <c r="B20" s="22">
        <v>18</v>
      </c>
      <c r="C20" s="29"/>
      <c r="D20" s="27">
        <f>IFERROR(VLOOKUP(A20,[1]!TablaMateriales[#Data],2,FALSE),0)</f>
        <v>6350</v>
      </c>
      <c r="E20" s="25">
        <f>B20*D20</f>
        <v>114300</v>
      </c>
      <c r="F20" s="155"/>
    </row>
    <row r="21" spans="1:6" x14ac:dyDescent="0.35">
      <c r="A21" s="30" t="s">
        <v>308</v>
      </c>
      <c r="B21" s="22">
        <v>2</v>
      </c>
      <c r="C21" s="29"/>
      <c r="D21" s="27">
        <f>IFERROR(VLOOKUP(A21,[1]!TablaMateriales[#Data],2,FALSE),0)</f>
        <v>7592</v>
      </c>
      <c r="E21" s="25">
        <f>B21*D21</f>
        <v>15184</v>
      </c>
      <c r="F21" s="155"/>
    </row>
    <row r="22" spans="1:6" x14ac:dyDescent="0.35">
      <c r="A22" s="30"/>
      <c r="B22" s="22"/>
      <c r="C22" s="29"/>
      <c r="D22" s="27">
        <f>IFERROR(VLOOKUP(A22,[1]!TablaMateriales[#Data],2,FALSE),0)</f>
        <v>0</v>
      </c>
      <c r="E22" s="25">
        <f>B22*D22</f>
        <v>0</v>
      </c>
      <c r="F22" s="155"/>
    </row>
    <row r="23" spans="1:6" x14ac:dyDescent="0.35">
      <c r="A23" s="30"/>
      <c r="B23" s="22"/>
      <c r="C23" s="29"/>
      <c r="D23" s="27">
        <f>IFERROR(VLOOKUP(A23,[1]!TablaMateriales[#Data],2,FALSE),0)</f>
        <v>0</v>
      </c>
      <c r="E23" s="25">
        <f>B23*D23</f>
        <v>0</v>
      </c>
      <c r="F23" s="155"/>
    </row>
    <row r="24" spans="1:6" x14ac:dyDescent="0.35">
      <c r="A24" s="30"/>
      <c r="B24" s="78"/>
      <c r="C24" s="23"/>
      <c r="D24" s="27">
        <f>IFERROR(VLOOKUP(A24,[1]!TablaMateriales[#Data],2,FALSE),0)</f>
        <v>0</v>
      </c>
      <c r="E24" s="25">
        <f>B24*D24</f>
        <v>0</v>
      </c>
      <c r="F24" s="155"/>
    </row>
    <row r="25" spans="1:6" ht="15" thickBot="1" x14ac:dyDescent="0.4">
      <c r="A25" s="31"/>
      <c r="B25" s="78"/>
      <c r="C25" s="23"/>
      <c r="D25" s="27">
        <f>IFERROR(VLOOKUP(A25,[1]!TablaMateriales[#Data],2,FALSE),0)</f>
        <v>0</v>
      </c>
      <c r="E25" s="27"/>
      <c r="F25" s="173"/>
    </row>
    <row r="26" spans="1:6" ht="15" thickBot="1" x14ac:dyDescent="0.4">
      <c r="A26" s="296"/>
      <c r="B26" s="297"/>
      <c r="C26" s="297"/>
      <c r="D26" s="297"/>
      <c r="E26" s="298"/>
      <c r="F26" s="28">
        <f>SUM(E20:E25)</f>
        <v>129484</v>
      </c>
    </row>
    <row r="27" spans="1:6" x14ac:dyDescent="0.35">
      <c r="A27" s="33" t="s">
        <v>88</v>
      </c>
      <c r="B27" s="34" t="s">
        <v>83</v>
      </c>
      <c r="C27" s="35" t="s">
        <v>84</v>
      </c>
      <c r="D27" s="36" t="s">
        <v>89</v>
      </c>
      <c r="E27" s="37" t="s">
        <v>86</v>
      </c>
      <c r="F27" s="280"/>
    </row>
    <row r="28" spans="1:6" x14ac:dyDescent="0.35">
      <c r="A28" s="38" t="s">
        <v>596</v>
      </c>
      <c r="B28" s="34">
        <v>1</v>
      </c>
      <c r="C28" s="35">
        <v>0.6</v>
      </c>
      <c r="D28" s="39">
        <f>IFERROR(VLOOKUP(A28,[1]!Tabla8[#Data],3,FALSE),0)</f>
        <v>555393.74067333317</v>
      </c>
      <c r="E28" s="37">
        <f>B28*C28*D28</f>
        <v>333236.24440399988</v>
      </c>
      <c r="F28" s="281"/>
    </row>
    <row r="29" spans="1:6" x14ac:dyDescent="0.35">
      <c r="A29" s="107" t="s">
        <v>273</v>
      </c>
      <c r="B29" s="20">
        <v>1</v>
      </c>
      <c r="C29" s="40">
        <v>0.6</v>
      </c>
      <c r="D29" s="39">
        <f>IFERROR(VLOOKUP(A29,[1]!Tabla8[#Data],3,FALSE),0)</f>
        <v>555393.74067333317</v>
      </c>
      <c r="E29" s="21">
        <f t="shared" ref="E29:E35" si="1">B29*C29*D29</f>
        <v>333236.24440399988</v>
      </c>
      <c r="F29" s="281"/>
    </row>
    <row r="30" spans="1:6" x14ac:dyDescent="0.35">
      <c r="A30" s="107" t="s">
        <v>277</v>
      </c>
      <c r="B30" s="20"/>
      <c r="C30" s="35"/>
      <c r="D30" s="39">
        <f>IFERROR(VLOOKUP(A30,[1]!Tabla8[#Data],3,FALSE),0)</f>
        <v>555393.74067333317</v>
      </c>
      <c r="E30" s="21">
        <f>B30*C30*D30</f>
        <v>0</v>
      </c>
      <c r="F30" s="281"/>
    </row>
    <row r="31" spans="1:6" x14ac:dyDescent="0.35">
      <c r="A31" s="107" t="s">
        <v>278</v>
      </c>
      <c r="B31" s="20"/>
      <c r="C31" s="35"/>
      <c r="D31" s="39">
        <f>IFERROR(VLOOKUP(A31,[1]!Tabla8[#Data],3,FALSE),0)</f>
        <v>407197.80492666672</v>
      </c>
      <c r="E31" s="21">
        <f>B31*C31*D31</f>
        <v>0</v>
      </c>
      <c r="F31" s="281"/>
    </row>
    <row r="32" spans="1:6" x14ac:dyDescent="0.35">
      <c r="A32" s="107" t="s">
        <v>276</v>
      </c>
      <c r="B32" s="20"/>
      <c r="C32" s="35"/>
      <c r="D32" s="39">
        <f>IFERROR(VLOOKUP(A32,[1]!Tabla8[#Data],3,FALSE),0)</f>
        <v>407197.80492666672</v>
      </c>
      <c r="E32" s="21">
        <f>B32*C32*D32</f>
        <v>0</v>
      </c>
      <c r="F32" s="281"/>
    </row>
    <row r="33" spans="1:6" x14ac:dyDescent="0.35">
      <c r="A33" s="107" t="s">
        <v>274</v>
      </c>
      <c r="B33" s="20">
        <v>1</v>
      </c>
      <c r="C33" s="35">
        <v>0.6</v>
      </c>
      <c r="D33" s="39">
        <f>IFERROR(VLOOKUP(A33,[1]!Tabla8[#Data],3,FALSE),0)</f>
        <v>371571.3297066667</v>
      </c>
      <c r="E33" s="21">
        <f t="shared" si="1"/>
        <v>222942.79782400001</v>
      </c>
      <c r="F33" s="281"/>
    </row>
    <row r="34" spans="1:6" x14ac:dyDescent="0.35">
      <c r="A34" s="107" t="s">
        <v>223</v>
      </c>
      <c r="B34" s="20">
        <v>1</v>
      </c>
      <c r="C34" s="35">
        <v>0.6</v>
      </c>
      <c r="D34" s="39">
        <f>IFERROR(VLOOKUP(A34,[1]!Tabla8[#Data],3,FALSE),0)</f>
        <v>355821.87609999999</v>
      </c>
      <c r="E34" s="21">
        <f>B34*C34*D34</f>
        <v>213493.12565999999</v>
      </c>
      <c r="F34" s="281"/>
    </row>
    <row r="35" spans="1:6" x14ac:dyDescent="0.35">
      <c r="A35" s="107" t="s">
        <v>275</v>
      </c>
      <c r="B35" s="20">
        <v>1</v>
      </c>
      <c r="C35" s="35">
        <v>0.6</v>
      </c>
      <c r="D35" s="39">
        <f>IFERROR(VLOOKUP(A35,[1]!Tabla8[#Data],3,FALSE),0)</f>
        <v>382109.06042666658</v>
      </c>
      <c r="E35" s="21">
        <f t="shared" si="1"/>
        <v>229265.43625599993</v>
      </c>
      <c r="F35" s="281"/>
    </row>
    <row r="36" spans="1:6" x14ac:dyDescent="0.35">
      <c r="A36" s="287">
        <v>3</v>
      </c>
      <c r="B36" s="287"/>
      <c r="C36" s="287"/>
      <c r="D36" s="287"/>
      <c r="E36" s="287"/>
      <c r="F36" s="42">
        <f>SUM(E28:E35)</f>
        <v>1332173.8485479995</v>
      </c>
    </row>
    <row r="37" spans="1:6" x14ac:dyDescent="0.35">
      <c r="A37" s="33" t="s">
        <v>279</v>
      </c>
      <c r="B37" s="34" t="s">
        <v>83</v>
      </c>
      <c r="C37" s="35" t="s">
        <v>84</v>
      </c>
      <c r="D37" s="36" t="s">
        <v>269</v>
      </c>
      <c r="E37" s="37" t="s">
        <v>86</v>
      </c>
      <c r="F37" s="283"/>
    </row>
    <row r="38" spans="1:6" x14ac:dyDescent="0.35">
      <c r="A38" s="108"/>
      <c r="B38" s="108"/>
      <c r="C38" s="108"/>
      <c r="D38" s="108"/>
      <c r="E38" s="108"/>
      <c r="F38" s="284"/>
    </row>
    <row r="39" spans="1:6" x14ac:dyDescent="0.35">
      <c r="A39" s="108"/>
      <c r="B39" s="108"/>
      <c r="C39" s="108"/>
      <c r="D39" s="108"/>
      <c r="E39" s="108"/>
      <c r="F39" s="284"/>
    </row>
    <row r="40" spans="1:6" x14ac:dyDescent="0.35">
      <c r="A40" s="108"/>
      <c r="B40" s="108"/>
      <c r="C40" s="166"/>
      <c r="D40" s="41"/>
      <c r="E40" s="108"/>
      <c r="F40" s="284"/>
    </row>
    <row r="41" spans="1:6" x14ac:dyDescent="0.35">
      <c r="A41" s="41"/>
      <c r="B41" s="41"/>
      <c r="C41" s="41"/>
      <c r="D41" s="41">
        <f>IFERROR(VLOOKUP(A41,[1]!TablaTransporte[#Data],2,FALSE),0)</f>
        <v>0</v>
      </c>
      <c r="E41" s="41"/>
      <c r="F41" s="285"/>
    </row>
    <row r="42" spans="1:6" x14ac:dyDescent="0.35">
      <c r="A42" s="43"/>
      <c r="B42" s="43"/>
      <c r="C42" s="43"/>
      <c r="D42" s="43"/>
      <c r="E42" s="43"/>
      <c r="F42" s="42">
        <f>E39</f>
        <v>0</v>
      </c>
    </row>
    <row r="43" spans="1:6" x14ac:dyDescent="0.35">
      <c r="A43" s="288"/>
      <c r="B43" s="289"/>
      <c r="C43" s="289"/>
      <c r="D43" s="289"/>
      <c r="E43" s="290"/>
      <c r="F43" s="42">
        <f>F18+F26+F36+F42</f>
        <v>1781407.8485479995</v>
      </c>
    </row>
    <row r="44" spans="1:6" ht="15" thickBot="1" x14ac:dyDescent="0.4">
      <c r="A44" s="291"/>
      <c r="B44" s="292"/>
      <c r="C44" s="292"/>
      <c r="D44" s="292"/>
      <c r="E44" s="293"/>
      <c r="F44" s="44">
        <f>F43*A44</f>
        <v>0</v>
      </c>
    </row>
    <row r="45" spans="1:6" ht="15" thickBot="1" x14ac:dyDescent="0.4">
      <c r="A45" s="299"/>
      <c r="B45" s="300"/>
      <c r="C45" s="300"/>
      <c r="D45" s="300"/>
      <c r="E45" s="301"/>
      <c r="F45" s="28">
        <f>F43+F44</f>
        <v>1781407.8485479995</v>
      </c>
    </row>
    <row r="46" spans="1:6" ht="15" thickBot="1" x14ac:dyDescent="0.4">
      <c r="A46" s="302"/>
      <c r="B46" s="300"/>
      <c r="C46" s="300"/>
      <c r="D46" s="300"/>
      <c r="E46" s="301"/>
      <c r="F46" s="28">
        <f>F45*A46</f>
        <v>0</v>
      </c>
    </row>
    <row r="47" spans="1:6" ht="15" thickBot="1" x14ac:dyDescent="0.4">
      <c r="A47" s="286"/>
      <c r="B47" s="286"/>
      <c r="C47" s="286"/>
      <c r="D47" s="286"/>
      <c r="E47" s="286"/>
      <c r="F47" s="28">
        <f>F45+F46</f>
        <v>1781407.8485479995</v>
      </c>
    </row>
    <row r="48" spans="1:6" x14ac:dyDescent="0.35">
      <c r="F48" s="224">
        <f>F47/F3</f>
        <v>111337.99053424997</v>
      </c>
    </row>
  </sheetData>
  <mergeCells count="11">
    <mergeCell ref="A47:E47"/>
    <mergeCell ref="F27:F35"/>
    <mergeCell ref="A36:E36"/>
    <mergeCell ref="F37:F41"/>
    <mergeCell ref="A43:E43"/>
    <mergeCell ref="A44:E44"/>
    <mergeCell ref="A26:E26"/>
    <mergeCell ref="A1:F1"/>
    <mergeCell ref="A18:E18"/>
    <mergeCell ref="A45:E45"/>
    <mergeCell ref="A46:E46"/>
  </mergeCells>
  <dataValidations count="4">
    <dataValidation type="list" allowBlank="1" showInputMessage="1" showErrorMessage="1" sqref="A38:A41" xr:uid="{21A4A02E-EAFD-40C4-AF6F-419D2C32414E}">
      <formula1>ListaTransporte</formula1>
    </dataValidation>
    <dataValidation type="list" allowBlank="1" showInputMessage="1" showErrorMessage="1" sqref="A28:A35" xr:uid="{97B91967-C87C-4F33-9C93-1AD06A8A94A3}">
      <formula1>ListaProfesiones</formula1>
    </dataValidation>
    <dataValidation type="list" allowBlank="1" showInputMessage="1" showErrorMessage="1" sqref="A3:A18" xr:uid="{98923162-8033-43DD-9534-C67E6F6F63E6}">
      <formula1>ListaEquipos</formula1>
    </dataValidation>
    <dataValidation type="list" allowBlank="1" showInputMessage="1" showErrorMessage="1" sqref="A20:A26" xr:uid="{DC42B1B9-4843-4AC4-B0F2-5A7D43C2A200}">
      <formula1>ListaMateriales</formula1>
    </dataValidation>
  </dataValidation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CD6B-7654-4D9F-A7B7-673A18D7C514}">
  <sheetPr>
    <tabColor rgb="FF00B050"/>
  </sheetPr>
  <dimension ref="A1:F63"/>
  <sheetViews>
    <sheetView topLeftCell="A49" workbookViewId="0">
      <selection activeCell="F63" sqref="F63"/>
    </sheetView>
  </sheetViews>
  <sheetFormatPr baseColWidth="10" defaultRowHeight="14.5" x14ac:dyDescent="0.35"/>
  <cols>
    <col min="1" max="1" width="22.90625" bestFit="1" customWidth="1"/>
    <col min="2" max="2" width="6" bestFit="1" customWidth="1"/>
    <col min="3" max="3" width="9.6328125" bestFit="1" customWidth="1"/>
    <col min="4" max="4" width="10.08984375" bestFit="1" customWidth="1"/>
    <col min="5" max="5" width="11.453125" bestFit="1" customWidth="1"/>
    <col min="6" max="6" width="15.08984375" customWidth="1"/>
  </cols>
  <sheetData>
    <row r="1" spans="1:6" x14ac:dyDescent="0.35">
      <c r="A1" s="306" t="s">
        <v>200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ACTUALIZADO'!C47</f>
        <v>M2</v>
      </c>
    </row>
    <row r="3" spans="1:6" x14ac:dyDescent="0.35">
      <c r="A3" s="33"/>
      <c r="B3" s="34"/>
      <c r="C3" s="45"/>
      <c r="D3" s="46"/>
      <c r="E3" s="37"/>
      <c r="F3" s="77">
        <f>'RESUMEN ACTUALIZADO'!D47</f>
        <v>125</v>
      </c>
    </row>
    <row r="4" spans="1:6" x14ac:dyDescent="0.35">
      <c r="A4" s="24" t="s">
        <v>459</v>
      </c>
      <c r="B4" s="22">
        <v>1</v>
      </c>
      <c r="C4" s="23">
        <v>21</v>
      </c>
      <c r="D4" s="24">
        <f>IFERROR(VLOOKUP(A4,[1]!TablaEquipos[#Data],2,FALSE),0)</f>
        <v>60000</v>
      </c>
      <c r="E4" s="25">
        <f t="shared" ref="E4:E11" si="0">B4*C4*D4</f>
        <v>1260000</v>
      </c>
      <c r="F4" s="310"/>
    </row>
    <row r="5" spans="1:6" x14ac:dyDescent="0.35">
      <c r="A5" s="26" t="s">
        <v>631</v>
      </c>
      <c r="B5" s="22">
        <v>2</v>
      </c>
      <c r="C5" s="23">
        <v>21</v>
      </c>
      <c r="D5" s="24">
        <f>IFERROR(VLOOKUP(A5,[1]!TablaEquipos[#Data],2,FALSE),0)</f>
        <v>1500</v>
      </c>
      <c r="E5" s="25">
        <f t="shared" si="0"/>
        <v>63000</v>
      </c>
      <c r="F5" s="310"/>
    </row>
    <row r="6" spans="1:6" x14ac:dyDescent="0.35">
      <c r="A6" s="26" t="s">
        <v>337</v>
      </c>
      <c r="B6" s="22">
        <v>6</v>
      </c>
      <c r="C6" s="23">
        <v>21</v>
      </c>
      <c r="D6" s="24">
        <f>IFERROR(VLOOKUP(A6,[1]!TablaEquipos[#Data],2,FALSE),0)</f>
        <v>500</v>
      </c>
      <c r="E6" s="25">
        <f>B6*C6*D6</f>
        <v>63000</v>
      </c>
      <c r="F6" s="310"/>
    </row>
    <row r="7" spans="1:6" x14ac:dyDescent="0.35">
      <c r="A7" s="24" t="s">
        <v>382</v>
      </c>
      <c r="B7" s="22">
        <v>3</v>
      </c>
      <c r="C7" s="23">
        <v>21</v>
      </c>
      <c r="D7" s="24">
        <f>IFERROR(VLOOKUP(A7,[1]!TablaEquipos[#Data],2,FALSE),0)</f>
        <v>700</v>
      </c>
      <c r="E7" s="25">
        <f t="shared" si="0"/>
        <v>44100</v>
      </c>
      <c r="F7" s="310"/>
    </row>
    <row r="8" spans="1:6" x14ac:dyDescent="0.35">
      <c r="A8" s="26" t="s">
        <v>435</v>
      </c>
      <c r="B8" s="22">
        <v>2</v>
      </c>
      <c r="C8" s="23">
        <v>21</v>
      </c>
      <c r="D8" s="24">
        <f>IFERROR(VLOOKUP(A8,[1]!TablaEquipos[#Data],2,FALSE),0)</f>
        <v>700</v>
      </c>
      <c r="E8" s="25">
        <f t="shared" si="0"/>
        <v>29400</v>
      </c>
      <c r="F8" s="310"/>
    </row>
    <row r="9" spans="1:6" x14ac:dyDescent="0.35">
      <c r="A9" s="24" t="s">
        <v>667</v>
      </c>
      <c r="B9" s="22">
        <v>2</v>
      </c>
      <c r="C9" s="23">
        <v>21</v>
      </c>
      <c r="D9" s="24">
        <f>IFERROR(VLOOKUP(A9,[1]!TablaEquipos[#Data],2,FALSE),0)</f>
        <v>2000</v>
      </c>
      <c r="E9" s="25">
        <f t="shared" si="0"/>
        <v>84000</v>
      </c>
      <c r="F9" s="310"/>
    </row>
    <row r="10" spans="1:6" x14ac:dyDescent="0.35">
      <c r="A10" s="81" t="s">
        <v>326</v>
      </c>
      <c r="B10" s="82">
        <v>2</v>
      </c>
      <c r="C10" s="23">
        <v>21</v>
      </c>
      <c r="D10" s="81">
        <f>IFERROR(VLOOKUP(A10,[1]!TablaEquipos[#Data],2,FALSE),0)</f>
        <v>1500</v>
      </c>
      <c r="E10" s="83">
        <f t="shared" si="0"/>
        <v>63000</v>
      </c>
      <c r="F10" s="310"/>
    </row>
    <row r="11" spans="1:6" x14ac:dyDescent="0.35">
      <c r="A11" s="24" t="s">
        <v>237</v>
      </c>
      <c r="B11" s="22">
        <v>2</v>
      </c>
      <c r="C11" s="23">
        <v>21</v>
      </c>
      <c r="D11" s="24">
        <f>IFERROR(VLOOKUP(A11,[1]!TablaEquipos[#Data],2,FALSE),0)</f>
        <v>1000</v>
      </c>
      <c r="E11" s="25">
        <f t="shared" si="0"/>
        <v>42000</v>
      </c>
      <c r="F11" s="310"/>
    </row>
    <row r="12" spans="1:6" x14ac:dyDescent="0.35">
      <c r="A12" s="24" t="s">
        <v>491</v>
      </c>
      <c r="B12" s="22">
        <v>2</v>
      </c>
      <c r="C12" s="23">
        <v>21</v>
      </c>
      <c r="D12" s="24">
        <f>IFERROR(VLOOKUP(A12,[1]!TablaEquipos[#Data],2,FALSE),0)</f>
        <v>3000</v>
      </c>
      <c r="E12" s="25">
        <f>B12*D12</f>
        <v>6000</v>
      </c>
      <c r="F12" s="310"/>
    </row>
    <row r="13" spans="1:6" x14ac:dyDescent="0.35">
      <c r="A13" s="24" t="s">
        <v>432</v>
      </c>
      <c r="B13" s="22">
        <v>2</v>
      </c>
      <c r="C13" s="23">
        <v>21</v>
      </c>
      <c r="D13" s="24">
        <f>IFERROR(VLOOKUP(A13,[1]!TablaEquipos[#Data],2,FALSE),0)</f>
        <v>500</v>
      </c>
      <c r="E13" s="25">
        <f t="shared" ref="E13:E19" si="1">B13*C13*D13</f>
        <v>21000</v>
      </c>
      <c r="F13" s="310"/>
    </row>
    <row r="14" spans="1:6" x14ac:dyDescent="0.35">
      <c r="A14" s="24" t="s">
        <v>496</v>
      </c>
      <c r="B14" s="22">
        <v>2</v>
      </c>
      <c r="C14" s="23">
        <v>21</v>
      </c>
      <c r="D14" s="24">
        <f>IFERROR(VLOOKUP(A14,[1]!TablaEquipos[#Data],2,FALSE),0)</f>
        <v>700</v>
      </c>
      <c r="E14" s="25">
        <f t="shared" si="1"/>
        <v>29400</v>
      </c>
      <c r="F14" s="310"/>
    </row>
    <row r="15" spans="1:6" x14ac:dyDescent="0.35">
      <c r="A15" s="24" t="s">
        <v>393</v>
      </c>
      <c r="B15" s="22">
        <v>1</v>
      </c>
      <c r="C15" s="23">
        <v>21</v>
      </c>
      <c r="D15" s="24">
        <f>IFERROR(VLOOKUP(A15,[1]!TablaEquipos[#Data],2,FALSE),0)</f>
        <v>15000</v>
      </c>
      <c r="E15" s="25">
        <f t="shared" si="1"/>
        <v>315000</v>
      </c>
      <c r="F15" s="310"/>
    </row>
    <row r="16" spans="1:6" x14ac:dyDescent="0.35">
      <c r="A16" s="24" t="s">
        <v>239</v>
      </c>
      <c r="B16" s="22">
        <v>8</v>
      </c>
      <c r="C16" s="23">
        <v>21</v>
      </c>
      <c r="D16" s="24">
        <f>IFERROR(VLOOKUP(A16,[1]!TablaEquipos[#Data],2,FALSE),0)</f>
        <v>1000</v>
      </c>
      <c r="E16" s="25">
        <f t="shared" si="1"/>
        <v>168000</v>
      </c>
      <c r="F16" s="310"/>
    </row>
    <row r="17" spans="1:6" x14ac:dyDescent="0.35">
      <c r="A17" s="24" t="s">
        <v>342</v>
      </c>
      <c r="B17" s="22">
        <v>1</v>
      </c>
      <c r="C17" s="23">
        <v>21</v>
      </c>
      <c r="D17" s="24">
        <f>IFERROR(VLOOKUP(A17,[1]!TablaEquipos[#Data],2,FALSE),0)</f>
        <v>15000</v>
      </c>
      <c r="E17" s="25">
        <f t="shared" si="1"/>
        <v>315000</v>
      </c>
      <c r="F17" s="310"/>
    </row>
    <row r="18" spans="1:6" x14ac:dyDescent="0.35">
      <c r="A18" s="24" t="s">
        <v>242</v>
      </c>
      <c r="B18" s="22">
        <v>10</v>
      </c>
      <c r="C18" s="23">
        <v>21</v>
      </c>
      <c r="D18" s="24">
        <f>IFERROR(VLOOKUP(A18,[1]!TablaEquipos[#Data],2,FALSE),0)</f>
        <v>1000</v>
      </c>
      <c r="E18" s="25">
        <f t="shared" si="1"/>
        <v>210000</v>
      </c>
      <c r="F18" s="310"/>
    </row>
    <row r="19" spans="1:6" x14ac:dyDescent="0.35">
      <c r="A19" s="24" t="s">
        <v>234</v>
      </c>
      <c r="B19" s="22">
        <v>2</v>
      </c>
      <c r="C19" s="23">
        <v>21</v>
      </c>
      <c r="D19" s="24">
        <f>IFERROR(VLOOKUP(A19,[1]!TablaEquipos[#Data],2,FALSE),0)</f>
        <v>135000</v>
      </c>
      <c r="E19" s="25">
        <f t="shared" si="1"/>
        <v>5670000</v>
      </c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8382900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663</v>
      </c>
      <c r="B24" s="22">
        <v>7400</v>
      </c>
      <c r="C24" s="29"/>
      <c r="D24" s="27">
        <f>IFERROR(VLOOKUP(A24,[1]!TablaMateriales[#Data],2,FALSE),0)</f>
        <v>1500</v>
      </c>
      <c r="E24" s="25">
        <f>B24*D24</f>
        <v>11100000</v>
      </c>
      <c r="F24" s="281"/>
    </row>
    <row r="25" spans="1:6" x14ac:dyDescent="0.35">
      <c r="A25" s="30" t="s">
        <v>455</v>
      </c>
      <c r="B25" s="22">
        <v>30</v>
      </c>
      <c r="C25" s="29"/>
      <c r="D25" s="27">
        <f>IFERROR(VLOOKUP(A25,[1]!TablaMateriales[#Data],2,FALSE),0)</f>
        <v>38000</v>
      </c>
      <c r="E25" s="25">
        <f>B25*D25</f>
        <v>1140000</v>
      </c>
      <c r="F25" s="281"/>
    </row>
    <row r="26" spans="1:6" x14ac:dyDescent="0.35">
      <c r="A26" s="30" t="s">
        <v>427</v>
      </c>
      <c r="B26" s="22">
        <v>4</v>
      </c>
      <c r="C26" s="29"/>
      <c r="D26" s="27">
        <f>IFERROR(VLOOKUP(A26,[1]!TablaMateriales[#Data],2,FALSE),0)</f>
        <v>31000</v>
      </c>
      <c r="E26" s="25">
        <f>B26*D26</f>
        <v>124000</v>
      </c>
      <c r="F26" s="281"/>
    </row>
    <row r="27" spans="1:6" x14ac:dyDescent="0.35">
      <c r="A27" s="30" t="s">
        <v>387</v>
      </c>
      <c r="B27" s="22">
        <v>2</v>
      </c>
      <c r="C27" s="29"/>
      <c r="D27" s="27">
        <f>IFERROR(VLOOKUP(A27,[1]!TablaMateriales[#Data],2,FALSE),0)</f>
        <v>6000</v>
      </c>
      <c r="E27" s="25">
        <f>B27*D27</f>
        <v>12000</v>
      </c>
      <c r="F27" s="281"/>
    </row>
    <row r="28" spans="1:6" x14ac:dyDescent="0.35">
      <c r="A28" s="30" t="s">
        <v>261</v>
      </c>
      <c r="B28" s="78">
        <v>0.5</v>
      </c>
      <c r="C28" s="23"/>
      <c r="D28" s="27">
        <f>IFERROR(VLOOKUP(A28,[1]!TablaMateriales[#Data],2,FALSE),0)</f>
        <v>55000</v>
      </c>
      <c r="E28" s="25">
        <f>B28*D28</f>
        <v>27500</v>
      </c>
      <c r="F28" s="281"/>
    </row>
    <row r="29" spans="1:6" x14ac:dyDescent="0.35">
      <c r="A29" s="30" t="s">
        <v>433</v>
      </c>
      <c r="B29" s="78">
        <v>1</v>
      </c>
      <c r="C29" s="23"/>
      <c r="D29" s="27">
        <f>IFERROR(VLOOKUP(A29,[1]!TablaMateriales[#Data],2,FALSE),0)</f>
        <v>25000</v>
      </c>
      <c r="E29" s="25">
        <f t="shared" ref="E29:E35" si="2">B29*D29</f>
        <v>25000</v>
      </c>
      <c r="F29" s="281"/>
    </row>
    <row r="30" spans="1:6" x14ac:dyDescent="0.35">
      <c r="A30" s="30" t="s">
        <v>308</v>
      </c>
      <c r="B30" s="78">
        <v>3</v>
      </c>
      <c r="C30" s="23"/>
      <c r="D30" s="27">
        <f>IFERROR(VLOOKUP(A30,[1]!TablaMateriales[#Data],2,FALSE),0)</f>
        <v>7592</v>
      </c>
      <c r="E30" s="25">
        <f t="shared" si="2"/>
        <v>22776</v>
      </c>
      <c r="F30" s="281"/>
    </row>
    <row r="31" spans="1:6" x14ac:dyDescent="0.35">
      <c r="A31" s="30" t="s">
        <v>402</v>
      </c>
      <c r="B31" s="78">
        <v>10</v>
      </c>
      <c r="C31" s="23"/>
      <c r="D31" s="27">
        <f>IFERROR(VLOOKUP(A31,[1]!TablaMateriales[#Data],2,FALSE),0)</f>
        <v>62000</v>
      </c>
      <c r="E31" s="25">
        <f t="shared" si="2"/>
        <v>620000</v>
      </c>
      <c r="F31" s="281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5">
        <f t="shared" si="2"/>
        <v>0</v>
      </c>
      <c r="F32" s="281"/>
    </row>
    <row r="33" spans="1:6" x14ac:dyDescent="0.35">
      <c r="A33" s="30"/>
      <c r="B33" s="78"/>
      <c r="C33" s="23"/>
      <c r="D33" s="27">
        <f>IFERROR(VLOOKUP(A33,[1]!TablaMateriales[#Data],2,FALSE),0)</f>
        <v>0</v>
      </c>
      <c r="E33" s="25">
        <f t="shared" si="2"/>
        <v>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2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2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13071276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8.4600000000000009</v>
      </c>
      <c r="D43" s="39">
        <f>IFERROR(VLOOKUP(A43,[1]!Tabla8[#Data],3,FALSE),0)</f>
        <v>555393.74067333317</v>
      </c>
      <c r="E43" s="37">
        <f>B43*C43*D43</f>
        <v>4698631.0460963994</v>
      </c>
      <c r="F43" s="281"/>
    </row>
    <row r="44" spans="1:6" x14ac:dyDescent="0.35">
      <c r="A44" s="107" t="s">
        <v>273</v>
      </c>
      <c r="B44" s="20">
        <v>1</v>
      </c>
      <c r="C44" s="40">
        <v>8.4600000000000009</v>
      </c>
      <c r="D44" s="39">
        <f>IFERROR(VLOOKUP(A44,[1]!Tabla8[#Data],3,FALSE),0)</f>
        <v>555393.74067333317</v>
      </c>
      <c r="E44" s="21">
        <f t="shared" ref="E44:E50" si="3">B44*C44*D44</f>
        <v>4698631.0460963994</v>
      </c>
      <c r="F44" s="281"/>
    </row>
    <row r="45" spans="1:6" x14ac:dyDescent="0.35">
      <c r="A45" s="107" t="s">
        <v>277</v>
      </c>
      <c r="B45" s="20"/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/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/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2</v>
      </c>
      <c r="C48" s="35">
        <v>25.4</v>
      </c>
      <c r="D48" s="39">
        <f>IFERROR(VLOOKUP(A48,[1]!Tabla8[#Data],3,FALSE),0)</f>
        <v>371571.3297066667</v>
      </c>
      <c r="E48" s="21">
        <f t="shared" si="3"/>
        <v>18875823.549098667</v>
      </c>
      <c r="F48" s="281"/>
    </row>
    <row r="49" spans="1:6" x14ac:dyDescent="0.35">
      <c r="A49" s="107" t="s">
        <v>223</v>
      </c>
      <c r="B49" s="20">
        <v>1</v>
      </c>
      <c r="C49" s="35">
        <v>8.4600000000000009</v>
      </c>
      <c r="D49" s="39">
        <f>IFERROR(VLOOKUP(A49,[1]!Tabla8[#Data],3,FALSE),0)</f>
        <v>355821.87609999999</v>
      </c>
      <c r="E49" s="21">
        <f>B49*C49*D49</f>
        <v>3010253.0718060001</v>
      </c>
      <c r="F49" s="281"/>
    </row>
    <row r="50" spans="1:6" x14ac:dyDescent="0.35">
      <c r="A50" s="107" t="s">
        <v>275</v>
      </c>
      <c r="B50" s="20">
        <v>3</v>
      </c>
      <c r="C50" s="40">
        <v>25.4</v>
      </c>
      <c r="D50" s="39">
        <f>IFERROR(VLOOKUP(A50,[1]!Tabla8[#Data],3,FALSE),0)</f>
        <v>382109.06042666658</v>
      </c>
      <c r="E50" s="21">
        <f t="shared" si="3"/>
        <v>29116710.404511988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60400049.117609456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66">
        <v>3</v>
      </c>
      <c r="D53" s="108">
        <f>IFERROR(VLOOKUP(A53,[1]!TablaTransporte[#Data],2,FALSE),0)</f>
        <v>550000</v>
      </c>
      <c r="E53" s="108">
        <f>B53*C53*D53</f>
        <v>1650000</v>
      </c>
      <c r="F53" s="284"/>
    </row>
    <row r="54" spans="1:6" x14ac:dyDescent="0.35">
      <c r="A54" s="108" t="s">
        <v>381</v>
      </c>
      <c r="B54" s="108">
        <v>1</v>
      </c>
      <c r="C54" s="108">
        <v>15</v>
      </c>
      <c r="D54" s="108">
        <f>IFERROR(VLOOKUP(A54,[1]!TablaTransporte[#Data],2,FALSE),0)</f>
        <v>600000</v>
      </c>
      <c r="E54" s="108">
        <f>B54*C54*D54</f>
        <v>9000000</v>
      </c>
      <c r="F54" s="284"/>
    </row>
    <row r="55" spans="1:6" x14ac:dyDescent="0.35">
      <c r="A55" s="108" t="s">
        <v>295</v>
      </c>
      <c r="B55" s="108">
        <v>1</v>
      </c>
      <c r="C55" s="166">
        <v>0.33</v>
      </c>
      <c r="D55" s="108">
        <f>IFERROR(VLOOKUP(A55,[1]!TablaTransporte[#Data],2,FALSE),0)</f>
        <v>1250000</v>
      </c>
      <c r="E55" s="108">
        <f>B55*C55*D55</f>
        <v>412500</v>
      </c>
      <c r="F55" s="284"/>
    </row>
    <row r="56" spans="1:6" x14ac:dyDescent="0.35">
      <c r="A56" s="108"/>
      <c r="B56" s="108"/>
      <c r="C56" s="108"/>
      <c r="D56" s="108">
        <f>IFERROR(VLOOKUP(A56,[1]!TablaTransporte[#Data],2,FALSE),0)</f>
        <v>0</v>
      </c>
      <c r="E56" s="108">
        <f>B56*C56*D56</f>
        <v>0</v>
      </c>
      <c r="F56" s="285"/>
    </row>
    <row r="57" spans="1:6" x14ac:dyDescent="0.35">
      <c r="A57" s="43"/>
      <c r="B57" s="43"/>
      <c r="C57" s="43"/>
      <c r="D57" s="43"/>
      <c r="E57" s="43"/>
      <c r="F57" s="42">
        <f>SUM(E53:E56)</f>
        <v>11062500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92916725.117609456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92916725.117609456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92916725.117609456</v>
      </c>
    </row>
    <row r="63" spans="1:6" x14ac:dyDescent="0.35">
      <c r="F63" s="80">
        <f>F62/F3</f>
        <v>743333.80094087566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7B9A5CBB-2C91-42C6-AF63-B30277B5A72D}">
      <formula1>ListaMateriales</formula1>
    </dataValidation>
    <dataValidation type="list" allowBlank="1" showInputMessage="1" showErrorMessage="1" sqref="A3:A22" xr:uid="{09F6FD65-4629-4D37-9B60-718C0E20CD37}">
      <formula1>ListaEquipos</formula1>
    </dataValidation>
    <dataValidation type="list" allowBlank="1" showInputMessage="1" showErrorMessage="1" sqref="A53:A56" xr:uid="{1A53ABB6-CCAA-4B9B-AEF1-B4D5001C489A}">
      <formula1>ListaTransporte</formula1>
    </dataValidation>
    <dataValidation type="list" allowBlank="1" showInputMessage="1" showErrorMessage="1" sqref="A43:A50" xr:uid="{1B7C6957-B992-4CAE-A999-05DD5C61A13B}">
      <formula1>ListaProfesiones</formula1>
    </dataValidation>
  </dataValidation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CDE5-6561-4070-81AE-D39AA70C1220}">
  <sheetPr>
    <tabColor rgb="FF00B050"/>
  </sheetPr>
  <dimension ref="A1:F63"/>
  <sheetViews>
    <sheetView topLeftCell="A17" workbookViewId="0">
      <selection activeCell="A4" sqref="A4:C15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201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ACTUALIZADO'!C48</f>
        <v>M3</v>
      </c>
    </row>
    <row r="3" spans="1:6" x14ac:dyDescent="0.35">
      <c r="A3" s="33"/>
      <c r="B3" s="34"/>
      <c r="C3" s="45"/>
      <c r="D3" s="46"/>
      <c r="E3" s="37"/>
      <c r="F3" s="77">
        <f>'RESUMEN ACTUALIZADO'!D48</f>
        <v>10</v>
      </c>
    </row>
    <row r="4" spans="1:6" x14ac:dyDescent="0.35">
      <c r="A4" s="24" t="s">
        <v>459</v>
      </c>
      <c r="B4" s="22">
        <v>1</v>
      </c>
      <c r="C4" s="23">
        <v>3</v>
      </c>
      <c r="D4" s="24">
        <f>IFERROR(VLOOKUP(A4,[1]!TablaEquipos[#Data],2,FALSE),0)</f>
        <v>60000</v>
      </c>
      <c r="E4" s="25">
        <f t="shared" ref="E4:E11" si="0">B4*C4*D4</f>
        <v>180000</v>
      </c>
      <c r="F4" s="310"/>
    </row>
    <row r="5" spans="1:6" x14ac:dyDescent="0.35">
      <c r="A5" s="26" t="s">
        <v>229</v>
      </c>
      <c r="B5" s="22">
        <v>2</v>
      </c>
      <c r="C5" s="23">
        <v>3</v>
      </c>
      <c r="D5" s="24">
        <f>IFERROR(VLOOKUP(A5,[1]!TablaEquipos[#Data],2,FALSE),0)</f>
        <v>1500</v>
      </c>
      <c r="E5" s="25">
        <f t="shared" si="0"/>
        <v>9000</v>
      </c>
      <c r="F5" s="310"/>
    </row>
    <row r="6" spans="1:6" x14ac:dyDescent="0.35">
      <c r="A6" s="26" t="s">
        <v>337</v>
      </c>
      <c r="B6" s="22">
        <v>8</v>
      </c>
      <c r="C6" s="23">
        <v>3</v>
      </c>
      <c r="D6" s="24">
        <f>IFERROR(VLOOKUP(A6,[1]!TablaEquipos[#Data],2,FALSE),0)</f>
        <v>500</v>
      </c>
      <c r="E6" s="25">
        <f t="shared" si="0"/>
        <v>12000</v>
      </c>
      <c r="F6" s="310"/>
    </row>
    <row r="7" spans="1:6" x14ac:dyDescent="0.35">
      <c r="A7" s="24" t="s">
        <v>382</v>
      </c>
      <c r="B7" s="22">
        <v>2</v>
      </c>
      <c r="C7" s="23">
        <v>3</v>
      </c>
      <c r="D7" s="24">
        <f>IFERROR(VLOOKUP(A7,[1]!TablaEquipos[#Data],2,FALSE),0)</f>
        <v>700</v>
      </c>
      <c r="E7" s="25">
        <f t="shared" si="0"/>
        <v>4200</v>
      </c>
      <c r="F7" s="310"/>
    </row>
    <row r="8" spans="1:6" x14ac:dyDescent="0.35">
      <c r="A8" s="26" t="s">
        <v>435</v>
      </c>
      <c r="B8" s="22">
        <v>4</v>
      </c>
      <c r="C8" s="23">
        <v>3</v>
      </c>
      <c r="D8" s="24">
        <f>IFERROR(VLOOKUP(A8,[1]!TablaEquipos[#Data],2,FALSE),0)</f>
        <v>700</v>
      </c>
      <c r="E8" s="25">
        <f t="shared" si="0"/>
        <v>8400</v>
      </c>
      <c r="F8" s="310"/>
    </row>
    <row r="9" spans="1:6" x14ac:dyDescent="0.35">
      <c r="A9" s="24" t="s">
        <v>667</v>
      </c>
      <c r="B9" s="22">
        <v>1</v>
      </c>
      <c r="C9" s="23">
        <v>3</v>
      </c>
      <c r="D9" s="24">
        <f>IFERROR(VLOOKUP(A9,[1]!TablaEquipos[#Data],2,FALSE),0)</f>
        <v>2000</v>
      </c>
      <c r="E9" s="25">
        <f t="shared" si="0"/>
        <v>6000</v>
      </c>
      <c r="F9" s="310"/>
    </row>
    <row r="10" spans="1:6" x14ac:dyDescent="0.35">
      <c r="A10" s="81" t="s">
        <v>234</v>
      </c>
      <c r="B10" s="82">
        <v>2</v>
      </c>
      <c r="C10" s="23">
        <v>3</v>
      </c>
      <c r="D10" s="81">
        <f>IFERROR(VLOOKUP(A10,[1]!TablaEquipos[#Data],2,FALSE),0)</f>
        <v>135000</v>
      </c>
      <c r="E10" s="83">
        <f t="shared" si="0"/>
        <v>810000</v>
      </c>
      <c r="F10" s="310"/>
    </row>
    <row r="11" spans="1:6" x14ac:dyDescent="0.35">
      <c r="A11" s="24" t="s">
        <v>668</v>
      </c>
      <c r="B11" s="22">
        <v>1</v>
      </c>
      <c r="C11" s="23">
        <v>3</v>
      </c>
      <c r="D11" s="24">
        <f>IFERROR(VLOOKUP(A11,[1]!TablaEquipos[#Data],2,FALSE),0)</f>
        <v>2000</v>
      </c>
      <c r="E11" s="25">
        <f t="shared" si="0"/>
        <v>6000</v>
      </c>
      <c r="F11" s="310"/>
    </row>
    <row r="12" spans="1:6" x14ac:dyDescent="0.35">
      <c r="A12" s="24" t="s">
        <v>491</v>
      </c>
      <c r="B12" s="22">
        <v>2</v>
      </c>
      <c r="C12" s="23">
        <v>3</v>
      </c>
      <c r="D12" s="24">
        <f>IFERROR(VLOOKUP(A12,[1]!TablaEquipos[#Data],2,FALSE),0)</f>
        <v>3000</v>
      </c>
      <c r="E12" s="25">
        <f>B12*D12</f>
        <v>6000</v>
      </c>
      <c r="F12" s="310"/>
    </row>
    <row r="13" spans="1:6" x14ac:dyDescent="0.35">
      <c r="A13" s="24" t="s">
        <v>237</v>
      </c>
      <c r="B13" s="22">
        <v>1</v>
      </c>
      <c r="C13" s="23">
        <v>3</v>
      </c>
      <c r="D13" s="24">
        <f>IFERROR(VLOOKUP(A13,[1]!TablaEquipos[#Data],2,FALSE),0)</f>
        <v>1000</v>
      </c>
      <c r="E13" s="25">
        <f>B13*C13*D13</f>
        <v>3000</v>
      </c>
      <c r="F13" s="310"/>
    </row>
    <row r="14" spans="1:6" x14ac:dyDescent="0.35">
      <c r="A14" s="24" t="s">
        <v>326</v>
      </c>
      <c r="B14" s="22">
        <v>1</v>
      </c>
      <c r="C14" s="23">
        <v>3</v>
      </c>
      <c r="D14" s="24">
        <f>IFERROR(VLOOKUP(A14,[1]!TablaEquipos[#Data],2,FALSE),0)</f>
        <v>1500</v>
      </c>
      <c r="E14" s="25">
        <f>B14*C14*D14</f>
        <v>4500</v>
      </c>
      <c r="F14" s="310"/>
    </row>
    <row r="15" spans="1:6" x14ac:dyDescent="0.35">
      <c r="A15" s="24" t="s">
        <v>393</v>
      </c>
      <c r="B15" s="22">
        <v>1</v>
      </c>
      <c r="C15" s="23">
        <v>3</v>
      </c>
      <c r="D15" s="24">
        <f>IFERROR(VLOOKUP(A15,[1]!TablaEquipos[#Data],2,FALSE),0)</f>
        <v>15000</v>
      </c>
      <c r="E15" s="25">
        <f>B15*C15*D15</f>
        <v>45000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1094100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455</v>
      </c>
      <c r="B24" s="22">
        <v>100</v>
      </c>
      <c r="C24" s="29"/>
      <c r="D24" s="27">
        <f>IFERROR(VLOOKUP(A24,[1]!TablaMateriales[#Data],2,FALSE),0)</f>
        <v>38000</v>
      </c>
      <c r="E24" s="25">
        <f>B24*D24</f>
        <v>3800000</v>
      </c>
      <c r="F24" s="281"/>
    </row>
    <row r="25" spans="1:6" x14ac:dyDescent="0.35">
      <c r="A25" s="30" t="s">
        <v>427</v>
      </c>
      <c r="B25" s="22">
        <v>10.5</v>
      </c>
      <c r="C25" s="29"/>
      <c r="D25" s="27">
        <f>IFERROR(VLOOKUP(A25,[1]!TablaMateriales[#Data],2,FALSE),0)</f>
        <v>31000</v>
      </c>
      <c r="E25" s="25">
        <f>B25*D25</f>
        <v>325500</v>
      </c>
      <c r="F25" s="281"/>
    </row>
    <row r="26" spans="1:6" x14ac:dyDescent="0.35">
      <c r="A26" s="30" t="s">
        <v>387</v>
      </c>
      <c r="B26" s="228">
        <v>3</v>
      </c>
      <c r="C26" s="29"/>
      <c r="D26" s="27">
        <f>IFERROR(VLOOKUP(A26,[1]!TablaMateriales[#Data],2,FALSE),0)</f>
        <v>6000</v>
      </c>
      <c r="E26" s="25">
        <f>B26*D26</f>
        <v>18000</v>
      </c>
      <c r="F26" s="281"/>
    </row>
    <row r="27" spans="1:6" x14ac:dyDescent="0.35">
      <c r="A27" s="30" t="s">
        <v>261</v>
      </c>
      <c r="B27" s="228">
        <v>0.3</v>
      </c>
      <c r="C27" s="29"/>
      <c r="D27" s="27">
        <f>IFERROR(VLOOKUP(A27,[1]!TablaMateriales[#Data],2,FALSE),0)</f>
        <v>55000</v>
      </c>
      <c r="E27" s="25">
        <f>B27*D27</f>
        <v>16500</v>
      </c>
      <c r="F27" s="281"/>
    </row>
    <row r="28" spans="1:6" x14ac:dyDescent="0.35">
      <c r="A28" s="30" t="s">
        <v>635</v>
      </c>
      <c r="B28" s="134">
        <v>0.5</v>
      </c>
      <c r="C28" s="23"/>
      <c r="D28" s="27">
        <f>IFERROR(VLOOKUP(A28,[1]!TablaMateriales[#Data],2,FALSE),0)</f>
        <v>250000</v>
      </c>
      <c r="E28" s="25">
        <f>B28*D28</f>
        <v>125000</v>
      </c>
      <c r="F28" s="281"/>
    </row>
    <row r="29" spans="1:6" x14ac:dyDescent="0.35">
      <c r="A29" s="30"/>
      <c r="B29" s="78"/>
      <c r="C29" s="23"/>
      <c r="D29" s="27">
        <f>IFERROR(VLOOKUP(A29,[1]!TablaMateriales[#Data],2,FALSE),0)</f>
        <v>0</v>
      </c>
      <c r="E29" s="25">
        <f t="shared" ref="E29:E35" si="1">B29*D29</f>
        <v>0</v>
      </c>
      <c r="F29" s="281"/>
    </row>
    <row r="30" spans="1:6" x14ac:dyDescent="0.35">
      <c r="A30" s="30"/>
      <c r="B30" s="78"/>
      <c r="C30" s="23"/>
      <c r="D30" s="27">
        <f>IFERROR(VLOOKUP(A30,[1]!TablaMateriales[#Data],2,FALSE),0)</f>
        <v>0</v>
      </c>
      <c r="E30" s="25">
        <f t="shared" si="1"/>
        <v>0</v>
      </c>
      <c r="F30" s="281"/>
    </row>
    <row r="31" spans="1:6" x14ac:dyDescent="0.35">
      <c r="A31" s="30"/>
      <c r="B31" s="78"/>
      <c r="C31" s="23"/>
      <c r="D31" s="27">
        <f>IFERROR(VLOOKUP(A31,[1]!TablaMateriales[#Data],2,FALSE),0)</f>
        <v>0</v>
      </c>
      <c r="E31" s="25">
        <f t="shared" si="1"/>
        <v>0</v>
      </c>
      <c r="F31" s="281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5">
        <f t="shared" si="1"/>
        <v>0</v>
      </c>
      <c r="F32" s="281"/>
    </row>
    <row r="33" spans="1:6" x14ac:dyDescent="0.35">
      <c r="A33" s="30"/>
      <c r="B33" s="78"/>
      <c r="C33" s="23"/>
      <c r="D33" s="27">
        <f>IFERROR(VLOOKUP(A33,[1]!TablaMateriales[#Data],2,FALSE),0)</f>
        <v>0</v>
      </c>
      <c r="E33" s="25">
        <f t="shared" si="1"/>
        <v>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4285000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1.8</v>
      </c>
      <c r="D43" s="39">
        <f>IFERROR(VLOOKUP(A43,[1]!Tabla8[#Data],3,FALSE),0)</f>
        <v>555393.74067333317</v>
      </c>
      <c r="E43" s="37">
        <f>B43*C43*D43</f>
        <v>999708.73321199976</v>
      </c>
      <c r="F43" s="281"/>
    </row>
    <row r="44" spans="1:6" x14ac:dyDescent="0.35">
      <c r="A44" s="107" t="s">
        <v>273</v>
      </c>
      <c r="B44" s="20">
        <v>1</v>
      </c>
      <c r="C44" s="40">
        <v>1.8</v>
      </c>
      <c r="D44" s="39">
        <f>IFERROR(VLOOKUP(A44,[1]!Tabla8[#Data],3,FALSE),0)</f>
        <v>555393.74067333317</v>
      </c>
      <c r="E44" s="21">
        <f t="shared" ref="E44:E50" si="2">B44*C44*D44</f>
        <v>999708.73321199976</v>
      </c>
      <c r="F44" s="281"/>
    </row>
    <row r="45" spans="1:6" x14ac:dyDescent="0.35">
      <c r="A45" s="107" t="s">
        <v>277</v>
      </c>
      <c r="B45" s="20"/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/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/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>
        <v>5.6</v>
      </c>
      <c r="D48" s="39">
        <f>IFERROR(VLOOKUP(A48,[1]!Tabla8[#Data],3,FALSE),0)</f>
        <v>371571.3297066667</v>
      </c>
      <c r="E48" s="21">
        <f t="shared" si="2"/>
        <v>2080799.4463573333</v>
      </c>
      <c r="F48" s="281"/>
    </row>
    <row r="49" spans="1:6" x14ac:dyDescent="0.35">
      <c r="A49" s="107" t="s">
        <v>223</v>
      </c>
      <c r="B49" s="20">
        <v>1</v>
      </c>
      <c r="C49" s="35">
        <v>1.8</v>
      </c>
      <c r="D49" s="39">
        <f>IFERROR(VLOOKUP(A49,[1]!Tabla8[#Data],3,FALSE),0)</f>
        <v>355821.87609999999</v>
      </c>
      <c r="E49" s="21">
        <f>B49*C49*D49</f>
        <v>640479.37698000006</v>
      </c>
      <c r="F49" s="281"/>
    </row>
    <row r="50" spans="1:6" x14ac:dyDescent="0.35">
      <c r="A50" s="107" t="s">
        <v>275</v>
      </c>
      <c r="B50" s="20">
        <v>2</v>
      </c>
      <c r="C50" s="40">
        <v>5.6</v>
      </c>
      <c r="D50" s="39">
        <f>IFERROR(VLOOKUP(A50,[1]!Tabla8[#Data],3,FALSE),0)</f>
        <v>382109.06042666658</v>
      </c>
      <c r="E50" s="21">
        <f t="shared" si="2"/>
        <v>4279621.4767786656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9000317.7665399984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381</v>
      </c>
      <c r="B53" s="108">
        <v>1</v>
      </c>
      <c r="C53" s="108">
        <v>1</v>
      </c>
      <c r="D53" s="108">
        <f>IFERROR(VLOOKUP(A53,[1]!TablaTransporte[#Data],2,FALSE),0)</f>
        <v>600000</v>
      </c>
      <c r="E53" s="108">
        <f>B53*C53*D53</f>
        <v>600000</v>
      </c>
      <c r="F53" s="284"/>
    </row>
    <row r="54" spans="1:6" x14ac:dyDescent="0.35">
      <c r="A54" s="108" t="s">
        <v>240</v>
      </c>
      <c r="B54" s="108">
        <v>1</v>
      </c>
      <c r="C54" s="108">
        <v>1</v>
      </c>
      <c r="D54" s="108">
        <f>IFERROR(VLOOKUP(A54,[1]!TablaTransporte[#Data],2,FALSE),0)</f>
        <v>550000</v>
      </c>
      <c r="E54" s="108">
        <f>B54*C54*D54</f>
        <v>550000</v>
      </c>
      <c r="F54" s="284"/>
    </row>
    <row r="55" spans="1:6" x14ac:dyDescent="0.35">
      <c r="A55" s="108" t="s">
        <v>295</v>
      </c>
      <c r="B55" s="108">
        <v>1</v>
      </c>
      <c r="C55" s="166">
        <v>0.25</v>
      </c>
      <c r="D55" s="108">
        <f>IFERROR(VLOOKUP(A55,[1]!TablaTransporte[#Data],2,FALSE),0)</f>
        <v>1250000</v>
      </c>
      <c r="E55" s="108">
        <f>B55*C55*D55</f>
        <v>312500</v>
      </c>
      <c r="F55" s="284"/>
    </row>
    <row r="56" spans="1:6" x14ac:dyDescent="0.35">
      <c r="A56" s="108"/>
      <c r="B56" s="108"/>
      <c r="C56" s="108"/>
      <c r="D56" s="108">
        <f>IFERROR(VLOOKUP(A56,[1]!TablaTransporte[#Data],2,FALSE),0)</f>
        <v>0</v>
      </c>
      <c r="E56" s="108">
        <f>B56*C56*D56</f>
        <v>0</v>
      </c>
      <c r="F56" s="285"/>
    </row>
    <row r="57" spans="1:6" x14ac:dyDescent="0.35">
      <c r="A57" s="43"/>
      <c r="B57" s="43"/>
      <c r="C57" s="43"/>
      <c r="D57" s="43"/>
      <c r="E57" s="43"/>
      <c r="F57" s="42">
        <f>SUM(E53:E56)</f>
        <v>1462500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15841917.766539998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15841917.766539998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15841917.766539998</v>
      </c>
    </row>
    <row r="63" spans="1:6" x14ac:dyDescent="0.35">
      <c r="F63" s="224">
        <f>F62/F3</f>
        <v>1584191.7766539999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11EEEA89-7E97-419D-B0AD-E0D39ACBD9DE}">
      <formula1>ListaMateriales</formula1>
    </dataValidation>
    <dataValidation type="list" allowBlank="1" showInputMessage="1" showErrorMessage="1" sqref="A3:A22" xr:uid="{362C5614-8C47-43FA-81EF-A01FCAE229AB}">
      <formula1>ListaEquipos</formula1>
    </dataValidation>
    <dataValidation type="list" allowBlank="1" showInputMessage="1" showErrorMessage="1" sqref="A53:A56" xr:uid="{F3F5855B-C718-45D5-AD0B-CD0F7E5F15C4}">
      <formula1>ListaTransporte</formula1>
    </dataValidation>
    <dataValidation type="list" allowBlank="1" showInputMessage="1" showErrorMessage="1" sqref="A43:A50" xr:uid="{DB5CE071-39E2-4D4B-BD2C-45161F886E9A}">
      <formula1>ListaProfesiones</formula1>
    </dataValidation>
  </dataValidation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119D-3E11-4D2E-BDC1-ABE6B7C5346C}">
  <sheetPr>
    <tabColor rgb="FF00B050"/>
  </sheetPr>
  <dimension ref="A1:F63"/>
  <sheetViews>
    <sheetView topLeftCell="A47" workbookViewId="0">
      <selection activeCell="A53" sqref="A53:A55"/>
    </sheetView>
  </sheetViews>
  <sheetFormatPr baseColWidth="10" defaultRowHeight="14.5" x14ac:dyDescent="0.35"/>
  <cols>
    <col min="1" max="1" width="22.90625" bestFit="1" customWidth="1"/>
    <col min="2" max="2" width="6" bestFit="1" customWidth="1"/>
    <col min="3" max="3" width="9.6328125" bestFit="1" customWidth="1"/>
    <col min="4" max="4" width="10.08984375" bestFit="1" customWidth="1"/>
    <col min="6" max="6" width="12.6328125" bestFit="1" customWidth="1"/>
  </cols>
  <sheetData>
    <row r="1" spans="1:6" x14ac:dyDescent="0.35">
      <c r="A1" s="306" t="s">
        <v>202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ACTUALIZADO'!C49</f>
        <v>M3</v>
      </c>
    </row>
    <row r="3" spans="1:6" x14ac:dyDescent="0.35">
      <c r="A3" s="33"/>
      <c r="B3" s="34"/>
      <c r="C3" s="45"/>
      <c r="D3" s="46"/>
      <c r="E3" s="37"/>
      <c r="F3" s="77">
        <f>'RESUMEN ACTUALIZADO'!D49</f>
        <v>3</v>
      </c>
    </row>
    <row r="4" spans="1:6" x14ac:dyDescent="0.35">
      <c r="A4" s="24" t="s">
        <v>459</v>
      </c>
      <c r="B4" s="22">
        <v>1</v>
      </c>
      <c r="C4" s="23">
        <v>1</v>
      </c>
      <c r="D4" s="24">
        <f>IFERROR(VLOOKUP(A4,[1]!TablaEquipos[#Data],2,FALSE),0)</f>
        <v>60000</v>
      </c>
      <c r="E4" s="25">
        <f t="shared" ref="E4:E11" si="0">B4*C4*D4</f>
        <v>60000</v>
      </c>
      <c r="F4" s="310"/>
    </row>
    <row r="5" spans="1:6" x14ac:dyDescent="0.35">
      <c r="A5" s="26" t="s">
        <v>229</v>
      </c>
      <c r="B5" s="22">
        <v>2</v>
      </c>
      <c r="C5" s="23">
        <v>1</v>
      </c>
      <c r="D5" s="24">
        <f>IFERROR(VLOOKUP(A5,[1]!TablaEquipos[#Data],2,FALSE),0)</f>
        <v>1500</v>
      </c>
      <c r="E5" s="25">
        <f t="shared" si="0"/>
        <v>3000</v>
      </c>
      <c r="F5" s="310"/>
    </row>
    <row r="6" spans="1:6" x14ac:dyDescent="0.35">
      <c r="A6" s="26" t="s">
        <v>337</v>
      </c>
      <c r="B6" s="22">
        <v>8</v>
      </c>
      <c r="C6" s="23">
        <v>1</v>
      </c>
      <c r="D6" s="24">
        <f>IFERROR(VLOOKUP(A6,[1]!TablaEquipos[#Data],2,FALSE),0)</f>
        <v>500</v>
      </c>
      <c r="E6" s="25">
        <f t="shared" si="0"/>
        <v>4000</v>
      </c>
      <c r="F6" s="310"/>
    </row>
    <row r="7" spans="1:6" x14ac:dyDescent="0.35">
      <c r="A7" s="24" t="s">
        <v>382</v>
      </c>
      <c r="B7" s="22">
        <v>2</v>
      </c>
      <c r="C7" s="23">
        <v>1</v>
      </c>
      <c r="D7" s="24">
        <f>IFERROR(VLOOKUP(A7,[1]!TablaEquipos[#Data],2,FALSE),0)</f>
        <v>700</v>
      </c>
      <c r="E7" s="25">
        <f t="shared" si="0"/>
        <v>1400</v>
      </c>
      <c r="F7" s="310"/>
    </row>
    <row r="8" spans="1:6" x14ac:dyDescent="0.35">
      <c r="A8" s="26" t="s">
        <v>435</v>
      </c>
      <c r="B8" s="22">
        <v>4</v>
      </c>
      <c r="C8" s="23">
        <v>1</v>
      </c>
      <c r="D8" s="24">
        <f>IFERROR(VLOOKUP(A8,[1]!TablaEquipos[#Data],2,FALSE),0)</f>
        <v>700</v>
      </c>
      <c r="E8" s="25">
        <f t="shared" si="0"/>
        <v>2800</v>
      </c>
      <c r="F8" s="310"/>
    </row>
    <row r="9" spans="1:6" x14ac:dyDescent="0.35">
      <c r="A9" s="24" t="s">
        <v>667</v>
      </c>
      <c r="B9" s="22">
        <v>1</v>
      </c>
      <c r="C9" s="23">
        <v>1</v>
      </c>
      <c r="D9" s="24">
        <f>IFERROR(VLOOKUP(A9,[1]!TablaEquipos[#Data],2,FALSE),0)</f>
        <v>2000</v>
      </c>
      <c r="E9" s="25">
        <f t="shared" si="0"/>
        <v>2000</v>
      </c>
      <c r="F9" s="310"/>
    </row>
    <row r="10" spans="1:6" x14ac:dyDescent="0.35">
      <c r="A10" s="81" t="s">
        <v>234</v>
      </c>
      <c r="B10" s="82">
        <v>2</v>
      </c>
      <c r="C10" s="23">
        <v>1</v>
      </c>
      <c r="D10" s="81">
        <f>IFERROR(VLOOKUP(A10,[1]!TablaEquipos[#Data],2,FALSE),0)</f>
        <v>135000</v>
      </c>
      <c r="E10" s="83">
        <f t="shared" si="0"/>
        <v>270000</v>
      </c>
      <c r="F10" s="310"/>
    </row>
    <row r="11" spans="1:6" x14ac:dyDescent="0.35">
      <c r="A11" s="24" t="s">
        <v>668</v>
      </c>
      <c r="B11" s="22">
        <v>1</v>
      </c>
      <c r="C11" s="23">
        <v>1</v>
      </c>
      <c r="D11" s="24">
        <f>IFERROR(VLOOKUP(A11,[1]!TablaEquipos[#Data],2,FALSE),0)</f>
        <v>2000</v>
      </c>
      <c r="E11" s="25">
        <f t="shared" si="0"/>
        <v>2000</v>
      </c>
      <c r="F11" s="310"/>
    </row>
    <row r="12" spans="1:6" x14ac:dyDescent="0.35">
      <c r="A12" s="24" t="s">
        <v>491</v>
      </c>
      <c r="B12" s="22">
        <v>2</v>
      </c>
      <c r="C12" s="23">
        <v>1</v>
      </c>
      <c r="D12" s="24">
        <f>IFERROR(VLOOKUP(A12,[1]!TablaEquipos[#Data],2,FALSE),0)</f>
        <v>3000</v>
      </c>
      <c r="E12" s="25">
        <f>B12*D12</f>
        <v>6000</v>
      </c>
      <c r="F12" s="310"/>
    </row>
    <row r="13" spans="1:6" x14ac:dyDescent="0.35">
      <c r="A13" s="24" t="s">
        <v>237</v>
      </c>
      <c r="B13" s="22">
        <v>1</v>
      </c>
      <c r="C13" s="23">
        <v>1</v>
      </c>
      <c r="D13" s="24">
        <f>IFERROR(VLOOKUP(A13,[1]!TablaEquipos[#Data],2,FALSE),0)</f>
        <v>1000</v>
      </c>
      <c r="E13" s="25">
        <f>B13*C13*D13</f>
        <v>1000</v>
      </c>
      <c r="F13" s="310"/>
    </row>
    <row r="14" spans="1:6" x14ac:dyDescent="0.35">
      <c r="A14" s="24" t="s">
        <v>326</v>
      </c>
      <c r="B14" s="22">
        <v>1</v>
      </c>
      <c r="C14" s="23">
        <v>1</v>
      </c>
      <c r="D14" s="24">
        <f>IFERROR(VLOOKUP(A14,[1]!TablaEquipos[#Data],2,FALSE),0)</f>
        <v>1500</v>
      </c>
      <c r="E14" s="25">
        <f>B14*C14*D14</f>
        <v>1500</v>
      </c>
      <c r="F14" s="310"/>
    </row>
    <row r="15" spans="1:6" x14ac:dyDescent="0.35">
      <c r="A15" s="24" t="s">
        <v>393</v>
      </c>
      <c r="B15" s="22">
        <v>1</v>
      </c>
      <c r="C15" s="23">
        <v>1</v>
      </c>
      <c r="D15" s="24">
        <f>IFERROR(VLOOKUP(A15,[1]!TablaEquipos[#Data],2,FALSE),0)</f>
        <v>15000</v>
      </c>
      <c r="E15" s="25">
        <f>B15*C15*D15</f>
        <v>15000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368700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455</v>
      </c>
      <c r="B24" s="22">
        <v>33</v>
      </c>
      <c r="C24" s="29"/>
      <c r="D24" s="27">
        <f>IFERROR(VLOOKUP(A24,[1]!TablaMateriales[#Data],2,FALSE),0)</f>
        <v>38000</v>
      </c>
      <c r="E24" s="25">
        <f>B24*D24</f>
        <v>1254000</v>
      </c>
      <c r="F24" s="281"/>
    </row>
    <row r="25" spans="1:6" x14ac:dyDescent="0.35">
      <c r="A25" s="30" t="s">
        <v>427</v>
      </c>
      <c r="B25" s="29">
        <v>3.6</v>
      </c>
      <c r="C25" s="29"/>
      <c r="D25" s="27">
        <f>IFERROR(VLOOKUP(A25,[1]!TablaMateriales[#Data],2,FALSE),0)</f>
        <v>31000</v>
      </c>
      <c r="E25" s="25">
        <f>B25*D25</f>
        <v>111600</v>
      </c>
      <c r="F25" s="281"/>
    </row>
    <row r="26" spans="1:6" x14ac:dyDescent="0.35">
      <c r="A26" s="30" t="s">
        <v>387</v>
      </c>
      <c r="B26" s="228">
        <v>1</v>
      </c>
      <c r="C26" s="29"/>
      <c r="D26" s="27">
        <f>IFERROR(VLOOKUP(A26,[1]!TablaMateriales[#Data],2,FALSE),0)</f>
        <v>6000</v>
      </c>
      <c r="E26" s="25">
        <f>B26*D26</f>
        <v>6000</v>
      </c>
      <c r="F26" s="281"/>
    </row>
    <row r="27" spans="1:6" x14ac:dyDescent="0.35">
      <c r="A27" s="30" t="s">
        <v>261</v>
      </c>
      <c r="B27" s="228">
        <v>0.1</v>
      </c>
      <c r="C27" s="29"/>
      <c r="D27" s="27">
        <f>IFERROR(VLOOKUP(A27,[1]!TablaMateriales[#Data],2,FALSE),0)</f>
        <v>55000</v>
      </c>
      <c r="E27" s="25">
        <f>B27*D27</f>
        <v>5500</v>
      </c>
      <c r="F27" s="281"/>
    </row>
    <row r="28" spans="1:6" x14ac:dyDescent="0.35">
      <c r="A28" s="30" t="s">
        <v>452</v>
      </c>
      <c r="B28" s="134">
        <v>33</v>
      </c>
      <c r="C28" s="23"/>
      <c r="D28" s="27">
        <f>IFERROR(VLOOKUP(A28,[1]!TablaMateriales[#Data],2,FALSE),0)</f>
        <v>45000</v>
      </c>
      <c r="E28" s="25">
        <f>B28*D28</f>
        <v>1485000</v>
      </c>
      <c r="F28" s="281"/>
    </row>
    <row r="29" spans="1:6" x14ac:dyDescent="0.35">
      <c r="A29" s="30"/>
      <c r="B29" s="78"/>
      <c r="C29" s="23"/>
      <c r="D29" s="27">
        <f>IFERROR(VLOOKUP(A29,[1]!TablaMateriales[#Data],2,FALSE),0)</f>
        <v>0</v>
      </c>
      <c r="E29" s="25">
        <f t="shared" ref="E29:E35" si="1">B29*D29</f>
        <v>0</v>
      </c>
      <c r="F29" s="281"/>
    </row>
    <row r="30" spans="1:6" x14ac:dyDescent="0.35">
      <c r="A30" s="30"/>
      <c r="B30" s="78"/>
      <c r="C30" s="23"/>
      <c r="D30" s="27">
        <f>IFERROR(VLOOKUP(A30,[1]!TablaMateriales[#Data],2,FALSE),0)</f>
        <v>0</v>
      </c>
      <c r="E30" s="25">
        <f t="shared" si="1"/>
        <v>0</v>
      </c>
      <c r="F30" s="281"/>
    </row>
    <row r="31" spans="1:6" x14ac:dyDescent="0.35">
      <c r="A31" s="30"/>
      <c r="B31" s="78"/>
      <c r="C31" s="23"/>
      <c r="D31" s="27">
        <f>IFERROR(VLOOKUP(A31,[1]!TablaMateriales[#Data],2,FALSE),0)</f>
        <v>0</v>
      </c>
      <c r="E31" s="25">
        <f t="shared" si="1"/>
        <v>0</v>
      </c>
      <c r="F31" s="281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5">
        <f t="shared" si="1"/>
        <v>0</v>
      </c>
      <c r="F32" s="281"/>
    </row>
    <row r="33" spans="1:6" x14ac:dyDescent="0.35">
      <c r="A33" s="30"/>
      <c r="B33" s="78"/>
      <c r="C33" s="23"/>
      <c r="D33" s="27">
        <f>IFERROR(VLOOKUP(A33,[1]!TablaMateriales[#Data],2,FALSE),0)</f>
        <v>0</v>
      </c>
      <c r="E33" s="25">
        <f t="shared" si="1"/>
        <v>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2862100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0.72</v>
      </c>
      <c r="D43" s="39">
        <f>IFERROR(VLOOKUP(A43,[1]!Tabla8[#Data],3,FALSE),0)</f>
        <v>555393.74067333317</v>
      </c>
      <c r="E43" s="37">
        <f>B43*C43*D43</f>
        <v>399883.49328479986</v>
      </c>
      <c r="F43" s="281"/>
    </row>
    <row r="44" spans="1:6" x14ac:dyDescent="0.35">
      <c r="A44" s="107" t="s">
        <v>273</v>
      </c>
      <c r="B44" s="20">
        <v>1</v>
      </c>
      <c r="C44" s="40">
        <v>0.72</v>
      </c>
      <c r="D44" s="39">
        <f>IFERROR(VLOOKUP(A44,[1]!Tabla8[#Data],3,FALSE),0)</f>
        <v>555393.74067333317</v>
      </c>
      <c r="E44" s="21">
        <f t="shared" ref="E44:E50" si="2">B44*C44*D44</f>
        <v>399883.49328479986</v>
      </c>
      <c r="F44" s="281"/>
    </row>
    <row r="45" spans="1:6" x14ac:dyDescent="0.35">
      <c r="A45" s="107" t="s">
        <v>277</v>
      </c>
      <c r="B45" s="20"/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/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/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>
        <v>2.17</v>
      </c>
      <c r="D48" s="39">
        <f>IFERROR(VLOOKUP(A48,[1]!Tabla8[#Data],3,FALSE),0)</f>
        <v>371571.3297066667</v>
      </c>
      <c r="E48" s="21">
        <f t="shared" si="2"/>
        <v>806309.78546346666</v>
      </c>
      <c r="F48" s="281"/>
    </row>
    <row r="49" spans="1:6" x14ac:dyDescent="0.35">
      <c r="A49" s="107" t="s">
        <v>223</v>
      </c>
      <c r="B49" s="20">
        <v>1</v>
      </c>
      <c r="C49" s="35">
        <v>0.72</v>
      </c>
      <c r="D49" s="39">
        <f>IFERROR(VLOOKUP(A49,[1]!Tabla8[#Data],3,FALSE),0)</f>
        <v>355821.87609999999</v>
      </c>
      <c r="E49" s="21">
        <f>B49*C49*D49</f>
        <v>256191.75079199998</v>
      </c>
      <c r="F49" s="281"/>
    </row>
    <row r="50" spans="1:6" x14ac:dyDescent="0.35">
      <c r="A50" s="107" t="s">
        <v>275</v>
      </c>
      <c r="B50" s="20">
        <v>2</v>
      </c>
      <c r="C50" s="40">
        <v>2.17</v>
      </c>
      <c r="D50" s="39">
        <f>IFERROR(VLOOKUP(A50,[1]!Tabla8[#Data],3,FALSE),0)</f>
        <v>382109.06042666658</v>
      </c>
      <c r="E50" s="21">
        <f t="shared" si="2"/>
        <v>1658353.3222517329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3520621.8450767994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381</v>
      </c>
      <c r="B53" s="108">
        <v>1</v>
      </c>
      <c r="C53" s="108">
        <v>0.33</v>
      </c>
      <c r="D53" s="108">
        <f>IFERROR(VLOOKUP(A53,[1]!TablaTransporte[#Data],2,FALSE),0)</f>
        <v>600000</v>
      </c>
      <c r="E53" s="108">
        <f>B53*C53*D53</f>
        <v>198000</v>
      </c>
      <c r="F53" s="284"/>
    </row>
    <row r="54" spans="1:6" x14ac:dyDescent="0.35">
      <c r="A54" s="108" t="s">
        <v>240</v>
      </c>
      <c r="B54" s="108">
        <v>1</v>
      </c>
      <c r="C54" s="108">
        <v>0.33</v>
      </c>
      <c r="D54" s="108">
        <f>IFERROR(VLOOKUP(A54,[1]!TablaTransporte[#Data],2,FALSE),0)</f>
        <v>550000</v>
      </c>
      <c r="E54" s="108">
        <f>B54*C54*D54</f>
        <v>181500</v>
      </c>
      <c r="F54" s="284"/>
    </row>
    <row r="55" spans="1:6" x14ac:dyDescent="0.35">
      <c r="A55" s="108" t="s">
        <v>295</v>
      </c>
      <c r="B55" s="108">
        <v>1</v>
      </c>
      <c r="C55" s="166">
        <v>0.08</v>
      </c>
      <c r="D55" s="108">
        <f>IFERROR(VLOOKUP(A55,[1]!TablaTransporte[#Data],2,FALSE),0)</f>
        <v>1250000</v>
      </c>
      <c r="E55" s="108">
        <f>B55*C55*D55</f>
        <v>100000</v>
      </c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SUM(E53:E56)</f>
        <v>479500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7230921.8450767994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7230921.8450767994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7230921.8450767994</v>
      </c>
    </row>
    <row r="63" spans="1:6" x14ac:dyDescent="0.35">
      <c r="F63" s="224">
        <f>F62/F3</f>
        <v>2410307.2816922665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911DEB93-74CD-4DF3-9291-F8C8A0861E9B}">
      <formula1>ListaMateriales</formula1>
    </dataValidation>
    <dataValidation type="list" allowBlank="1" showInputMessage="1" showErrorMessage="1" sqref="A3:A22" xr:uid="{511C531B-9302-4AF7-A852-3DB130EC9688}">
      <formula1>ListaEquipos</formula1>
    </dataValidation>
    <dataValidation type="list" allowBlank="1" showInputMessage="1" showErrorMessage="1" sqref="A53:A56" xr:uid="{F11C467F-8F76-4748-AFDF-553D55174E83}">
      <formula1>ListaTransporte</formula1>
    </dataValidation>
    <dataValidation type="list" allowBlank="1" showInputMessage="1" showErrorMessage="1" sqref="A43:A50" xr:uid="{0546E8A1-9FDD-4388-9792-476438E39535}">
      <formula1>ListaProfesiones</formula1>
    </dataValidation>
  </dataValidation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0B8EB-0BF7-4CAD-B8C5-2E5CEA5F97BD}">
  <sheetPr>
    <tabColor rgb="FF00B050"/>
  </sheetPr>
  <dimension ref="A1:F64"/>
  <sheetViews>
    <sheetView topLeftCell="A52" workbookViewId="0">
      <selection activeCell="F64" sqref="F64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5" max="5" width="11.453125" bestFit="1" customWidth="1"/>
    <col min="6" max="6" width="13.6328125" bestFit="1" customWidth="1"/>
  </cols>
  <sheetData>
    <row r="1" spans="1:6" x14ac:dyDescent="0.35">
      <c r="A1" s="306" t="s">
        <v>203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ACTUALIZADO'!C50</f>
        <v>M3</v>
      </c>
    </row>
    <row r="3" spans="1:6" x14ac:dyDescent="0.35">
      <c r="A3" s="33"/>
      <c r="B3" s="34"/>
      <c r="C3" s="45"/>
      <c r="D3" s="46"/>
      <c r="E3" s="37"/>
      <c r="F3" s="77">
        <f>'RESUMEN ACTUALIZADO'!D50</f>
        <v>56</v>
      </c>
    </row>
    <row r="4" spans="1:6" x14ac:dyDescent="0.35">
      <c r="A4" s="24" t="s">
        <v>302</v>
      </c>
      <c r="B4" s="233">
        <v>1</v>
      </c>
      <c r="C4" s="23">
        <v>15</v>
      </c>
      <c r="D4" s="24">
        <f>IFERROR(VLOOKUP(A4,[1]!TablaEquipos[#Data],2,FALSE),0)</f>
        <v>30000</v>
      </c>
      <c r="E4" s="25">
        <f t="shared" ref="E4:E12" si="0">B4*C4*D4</f>
        <v>450000</v>
      </c>
      <c r="F4" s="310"/>
    </row>
    <row r="5" spans="1:6" x14ac:dyDescent="0.35">
      <c r="A5" s="26" t="s">
        <v>229</v>
      </c>
      <c r="B5" s="233">
        <v>6</v>
      </c>
      <c r="C5" s="23">
        <v>15</v>
      </c>
      <c r="D5" s="24">
        <f>IFERROR(VLOOKUP(A5,[1]!TablaEquipos[#Data],2,FALSE),0)</f>
        <v>1500</v>
      </c>
      <c r="E5" s="25">
        <f t="shared" si="0"/>
        <v>135000</v>
      </c>
      <c r="F5" s="310"/>
    </row>
    <row r="6" spans="1:6" x14ac:dyDescent="0.35">
      <c r="A6" s="26" t="s">
        <v>337</v>
      </c>
      <c r="B6" s="233">
        <v>12</v>
      </c>
      <c r="C6" s="23">
        <v>15</v>
      </c>
      <c r="D6" s="24">
        <f>IFERROR(VLOOKUP(A6,[1]!TablaEquipos[#Data],2,FALSE),0)</f>
        <v>500</v>
      </c>
      <c r="E6" s="25">
        <f t="shared" si="0"/>
        <v>90000</v>
      </c>
      <c r="F6" s="310"/>
    </row>
    <row r="7" spans="1:6" x14ac:dyDescent="0.35">
      <c r="A7" s="24" t="s">
        <v>227</v>
      </c>
      <c r="B7" s="233">
        <v>6</v>
      </c>
      <c r="C7" s="23">
        <v>15</v>
      </c>
      <c r="D7" s="24">
        <f>IFERROR(VLOOKUP(A7,[1]!TablaEquipos[#Data],2,FALSE),0)</f>
        <v>700</v>
      </c>
      <c r="E7" s="25">
        <f t="shared" si="0"/>
        <v>63000</v>
      </c>
      <c r="F7" s="310"/>
    </row>
    <row r="8" spans="1:6" x14ac:dyDescent="0.35">
      <c r="A8" s="26" t="s">
        <v>430</v>
      </c>
      <c r="B8" s="233">
        <v>2</v>
      </c>
      <c r="C8" s="23">
        <v>15</v>
      </c>
      <c r="D8" s="24">
        <f>IFERROR(VLOOKUP(A8,[1]!TablaEquipos[#Data],2,FALSE),0)</f>
        <v>1500</v>
      </c>
      <c r="E8" s="25">
        <f t="shared" si="0"/>
        <v>45000</v>
      </c>
      <c r="F8" s="310"/>
    </row>
    <row r="9" spans="1:6" x14ac:dyDescent="0.35">
      <c r="A9" s="24" t="s">
        <v>431</v>
      </c>
      <c r="B9" s="233">
        <v>1</v>
      </c>
      <c r="C9" s="23">
        <v>15</v>
      </c>
      <c r="D9" s="24">
        <f>IFERROR(VLOOKUP(A9,[1]!TablaEquipos[#Data],2,FALSE),0)</f>
        <v>1000</v>
      </c>
      <c r="E9" s="25">
        <f t="shared" si="0"/>
        <v>15000</v>
      </c>
      <c r="F9" s="310"/>
    </row>
    <row r="10" spans="1:6" x14ac:dyDescent="0.35">
      <c r="A10" s="81" t="s">
        <v>669</v>
      </c>
      <c r="B10" s="234">
        <v>6</v>
      </c>
      <c r="C10" s="32">
        <v>10</v>
      </c>
      <c r="D10" s="81">
        <f>IFERROR(VLOOKUP(A10,[1]!TablaEquipos[#Data],2,FALSE),0)</f>
        <v>2000</v>
      </c>
      <c r="E10" s="83">
        <f t="shared" si="0"/>
        <v>120000</v>
      </c>
      <c r="F10" s="310"/>
    </row>
    <row r="11" spans="1:6" x14ac:dyDescent="0.35">
      <c r="A11" s="33" t="s">
        <v>459</v>
      </c>
      <c r="B11" s="235">
        <v>1</v>
      </c>
      <c r="C11" s="45">
        <v>15</v>
      </c>
      <c r="D11" s="24">
        <f>IFERROR(VLOOKUP(A11,[1]!TablaEquipos[#Data],2,FALSE),0)</f>
        <v>60000</v>
      </c>
      <c r="E11" s="25">
        <f t="shared" si="0"/>
        <v>900000</v>
      </c>
      <c r="F11" s="310"/>
    </row>
    <row r="12" spans="1:6" x14ac:dyDescent="0.35">
      <c r="A12" s="24" t="s">
        <v>638</v>
      </c>
      <c r="B12" s="233">
        <v>2</v>
      </c>
      <c r="C12" s="23">
        <v>15</v>
      </c>
      <c r="D12" s="24">
        <f>IFERROR(VLOOKUP(A12,[1]!TablaEquipos[#Data],2,FALSE),0)</f>
        <v>3000</v>
      </c>
      <c r="E12" s="25">
        <f t="shared" si="0"/>
        <v>90000</v>
      </c>
      <c r="F12" s="310"/>
    </row>
    <row r="13" spans="1:6" x14ac:dyDescent="0.35">
      <c r="A13" s="24" t="s">
        <v>447</v>
      </c>
      <c r="B13" s="22">
        <v>3</v>
      </c>
      <c r="C13" s="23">
        <v>15</v>
      </c>
      <c r="D13" s="24">
        <f>IFERROR(VLOOKUP(A13,[1]!TablaEquipos[#Data],2,FALSE),0)</f>
        <v>700</v>
      </c>
      <c r="E13" s="25">
        <f>B13*C13*D13</f>
        <v>31500</v>
      </c>
      <c r="F13" s="310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>
        <f>B14*C14*D14</f>
        <v>0</v>
      </c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1939500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168"/>
    </row>
    <row r="24" spans="1:6" x14ac:dyDescent="0.35">
      <c r="A24" s="24" t="s">
        <v>455</v>
      </c>
      <c r="B24" s="22">
        <v>364</v>
      </c>
      <c r="C24" s="29"/>
      <c r="D24" s="27">
        <f>IFERROR(VLOOKUP(A24,[1]!TablaMateriales[#Data],2,FALSE),0)</f>
        <v>38000</v>
      </c>
      <c r="E24" s="25">
        <f>B24*D24</f>
        <v>13832000</v>
      </c>
      <c r="F24" s="155"/>
    </row>
    <row r="25" spans="1:6" x14ac:dyDescent="0.35">
      <c r="A25" s="30" t="s">
        <v>427</v>
      </c>
      <c r="B25" s="22">
        <v>30</v>
      </c>
      <c r="C25" s="29"/>
      <c r="D25" s="27">
        <f>IFERROR(VLOOKUP(A25,[1]!TablaMateriales[#Data],2,FALSE),0)</f>
        <v>31000</v>
      </c>
      <c r="E25" s="25">
        <f>B25*D25</f>
        <v>930000</v>
      </c>
      <c r="F25" s="155"/>
    </row>
    <row r="26" spans="1:6" x14ac:dyDescent="0.35">
      <c r="A26" s="30" t="s">
        <v>423</v>
      </c>
      <c r="B26" s="22">
        <v>42</v>
      </c>
      <c r="C26" s="29"/>
      <c r="D26" s="27">
        <f>IFERROR(VLOOKUP(A26,[1]!TablaMateriales[#Data],2,FALSE),0)</f>
        <v>64000</v>
      </c>
      <c r="E26" s="25">
        <f>B26*D26</f>
        <v>2688000</v>
      </c>
      <c r="F26" s="155"/>
    </row>
    <row r="27" spans="1:6" x14ac:dyDescent="0.35">
      <c r="A27" s="30" t="s">
        <v>635</v>
      </c>
      <c r="B27" s="22">
        <v>3</v>
      </c>
      <c r="C27" s="29"/>
      <c r="D27" s="27">
        <f>IFERROR(VLOOKUP(A27,[1]!TablaMateriales[#Data],2,FALSE),0)</f>
        <v>250000</v>
      </c>
      <c r="E27" s="25">
        <f>B27*D27</f>
        <v>750000</v>
      </c>
      <c r="F27" s="155"/>
    </row>
    <row r="28" spans="1:6" x14ac:dyDescent="0.35">
      <c r="A28" s="30" t="s">
        <v>349</v>
      </c>
      <c r="B28" s="78">
        <v>10</v>
      </c>
      <c r="C28" s="23"/>
      <c r="D28" s="27">
        <f>IFERROR(VLOOKUP(A28,[1]!TablaMateriales[#Data],2,FALSE),0)</f>
        <v>30000</v>
      </c>
      <c r="E28" s="25">
        <f>B28*D28</f>
        <v>300000</v>
      </c>
      <c r="F28" s="155"/>
    </row>
    <row r="29" spans="1:6" x14ac:dyDescent="0.35">
      <c r="A29" s="30" t="s">
        <v>254</v>
      </c>
      <c r="B29" s="78">
        <v>10</v>
      </c>
      <c r="C29" s="23"/>
      <c r="D29" s="27">
        <f>IFERROR(VLOOKUP(A29,[1]!TablaMateriales[#Data],2,FALSE),0)</f>
        <v>20000</v>
      </c>
      <c r="E29" s="25">
        <f t="shared" ref="E29:E35" si="1">B29*D29</f>
        <v>200000</v>
      </c>
      <c r="F29" s="155"/>
    </row>
    <row r="30" spans="1:6" x14ac:dyDescent="0.35">
      <c r="A30" s="30" t="s">
        <v>253</v>
      </c>
      <c r="B30" s="78">
        <v>10</v>
      </c>
      <c r="C30" s="23"/>
      <c r="D30" s="27">
        <f>IFERROR(VLOOKUP(A30,[1]!TablaMateriales[#Data],2,FALSE),0)</f>
        <v>35000</v>
      </c>
      <c r="E30" s="25">
        <f t="shared" si="1"/>
        <v>350000</v>
      </c>
      <c r="F30" s="155"/>
    </row>
    <row r="31" spans="1:6" x14ac:dyDescent="0.35">
      <c r="A31" s="30" t="s">
        <v>433</v>
      </c>
      <c r="B31" s="78">
        <v>1</v>
      </c>
      <c r="C31" s="23"/>
      <c r="D31" s="27">
        <f>IFERROR(VLOOKUP(A31,[1]!TablaMateriales[#Data],2,FALSE),0)</f>
        <v>25000</v>
      </c>
      <c r="E31" s="25">
        <f t="shared" si="1"/>
        <v>25000</v>
      </c>
      <c r="F31" s="155"/>
    </row>
    <row r="32" spans="1:6" ht="23" x14ac:dyDescent="0.35">
      <c r="A32" s="79" t="s">
        <v>261</v>
      </c>
      <c r="B32" s="78">
        <v>1</v>
      </c>
      <c r="C32" s="23"/>
      <c r="D32" s="27">
        <f>IFERROR(VLOOKUP(A32,[1]!TablaMateriales[#Data],2,FALSE),0)</f>
        <v>55000</v>
      </c>
      <c r="E32" s="25">
        <f t="shared" si="1"/>
        <v>55000</v>
      </c>
      <c r="F32" s="155"/>
    </row>
    <row r="33" spans="1:6" x14ac:dyDescent="0.35">
      <c r="A33" s="30" t="s">
        <v>387</v>
      </c>
      <c r="B33" s="78">
        <v>10</v>
      </c>
      <c r="C33" s="23"/>
      <c r="D33" s="27">
        <f>IFERROR(VLOOKUP(A33,[1]!TablaMateriales[#Data],2,FALSE),0)</f>
        <v>6000</v>
      </c>
      <c r="E33" s="25">
        <f t="shared" si="1"/>
        <v>60000</v>
      </c>
      <c r="F33" s="155"/>
    </row>
    <row r="34" spans="1:6" x14ac:dyDescent="0.35">
      <c r="A34" s="31" t="s">
        <v>257</v>
      </c>
      <c r="B34" s="78">
        <v>2</v>
      </c>
      <c r="C34" s="23"/>
      <c r="D34" s="27">
        <f>IFERROR(VLOOKUP(A34,[1]!TablaMateriales[#Data],2,FALSE),0)</f>
        <v>9500</v>
      </c>
      <c r="E34" s="25">
        <f t="shared" si="1"/>
        <v>19000</v>
      </c>
      <c r="F34" s="155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173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173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173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173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173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173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19209000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>
        <v>9</v>
      </c>
      <c r="D43" s="39">
        <f>IFERROR(VLOOKUP(A43,[1]!Tabla8[#Data],3,FALSE),0)</f>
        <v>555393.74067333317</v>
      </c>
      <c r="E43" s="37">
        <f>B43*C43*D43</f>
        <v>4998543.6660599988</v>
      </c>
      <c r="F43" s="281"/>
    </row>
    <row r="44" spans="1:6" x14ac:dyDescent="0.35">
      <c r="A44" s="107" t="s">
        <v>273</v>
      </c>
      <c r="B44" s="20">
        <v>1</v>
      </c>
      <c r="C44" s="40">
        <v>9</v>
      </c>
      <c r="D44" s="39">
        <f>IFERROR(VLOOKUP(A44,[1]!Tabla8[#Data],3,FALSE),0)</f>
        <v>555393.74067333317</v>
      </c>
      <c r="E44" s="21">
        <f t="shared" ref="E44:E50" si="2">B44*C44*D44</f>
        <v>4998543.6660599988</v>
      </c>
      <c r="F44" s="281"/>
    </row>
    <row r="45" spans="1:6" x14ac:dyDescent="0.35">
      <c r="A45" s="107" t="s">
        <v>277</v>
      </c>
      <c r="B45" s="20">
        <v>0</v>
      </c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>
        <v>0</v>
      </c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>
        <v>0</v>
      </c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2</v>
      </c>
      <c r="C48" s="35">
        <v>18</v>
      </c>
      <c r="D48" s="39">
        <f>IFERROR(VLOOKUP(A48,[1]!Tabla8[#Data],3,FALSE),0)</f>
        <v>371571.3297066667</v>
      </c>
      <c r="E48" s="21">
        <f t="shared" si="2"/>
        <v>13376567.869440001</v>
      </c>
      <c r="F48" s="281"/>
    </row>
    <row r="49" spans="1:6" x14ac:dyDescent="0.35">
      <c r="A49" s="107" t="s">
        <v>223</v>
      </c>
      <c r="B49" s="20">
        <v>1</v>
      </c>
      <c r="C49" s="35">
        <v>9</v>
      </c>
      <c r="D49" s="39">
        <f>IFERROR(VLOOKUP(A49,[1]!Tabla8[#Data],3,FALSE),0)</f>
        <v>355821.87609999999</v>
      </c>
      <c r="E49" s="21">
        <f>B49*C49*D49</f>
        <v>3202396.8848999999</v>
      </c>
      <c r="F49" s="281"/>
    </row>
    <row r="50" spans="1:6" x14ac:dyDescent="0.35">
      <c r="A50" s="107" t="s">
        <v>275</v>
      </c>
      <c r="B50" s="20">
        <v>8</v>
      </c>
      <c r="C50" s="40">
        <v>18</v>
      </c>
      <c r="D50" s="39">
        <f>IFERROR(VLOOKUP(A50,[1]!Tabla8[#Data],3,FALSE),0)</f>
        <v>382109.06042666658</v>
      </c>
      <c r="E50" s="21">
        <f t="shared" si="2"/>
        <v>55023704.701439984</v>
      </c>
      <c r="F50" s="281"/>
    </row>
    <row r="51" spans="1:6" x14ac:dyDescent="0.35">
      <c r="A51" s="287"/>
      <c r="B51" s="287"/>
      <c r="C51" s="287"/>
      <c r="D51" s="287"/>
      <c r="E51" s="287"/>
      <c r="F51" s="42">
        <f>SUM(E43:E50)</f>
        <v>81599756.787899986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170"/>
    </row>
    <row r="53" spans="1:6" x14ac:dyDescent="0.35">
      <c r="A53" s="108" t="s">
        <v>381</v>
      </c>
      <c r="B53" s="108">
        <v>1</v>
      </c>
      <c r="C53" s="108">
        <v>15</v>
      </c>
      <c r="D53" s="108">
        <f>IFERROR(VLOOKUP(A53,[1]!TablaTransporte[#Data],2,FALSE),0)</f>
        <v>600000</v>
      </c>
      <c r="E53" s="110">
        <f>B53*C53*D53</f>
        <v>9000000</v>
      </c>
      <c r="F53" s="171"/>
    </row>
    <row r="54" spans="1:6" x14ac:dyDescent="0.35">
      <c r="A54" s="108" t="s">
        <v>240</v>
      </c>
      <c r="B54" s="108">
        <v>1</v>
      </c>
      <c r="C54" s="108">
        <v>4</v>
      </c>
      <c r="D54" s="108">
        <f>IFERROR(VLOOKUP(A54,[1]!TablaTransporte[#Data],2,FALSE),0)</f>
        <v>550000</v>
      </c>
      <c r="E54" s="110">
        <f>B54*C54*D54</f>
        <v>2200000</v>
      </c>
      <c r="F54" s="171"/>
    </row>
    <row r="55" spans="1:6" x14ac:dyDescent="0.35">
      <c r="A55" s="108" t="s">
        <v>294</v>
      </c>
      <c r="B55" s="108">
        <v>1</v>
      </c>
      <c r="C55" s="108">
        <v>2</v>
      </c>
      <c r="D55" s="108">
        <f>IFERROR(VLOOKUP(A55,[1]!TablaTransporte[#Data],2,FALSE),0)</f>
        <v>1650000</v>
      </c>
      <c r="E55" s="110">
        <f>B55*C55*D55</f>
        <v>3300000</v>
      </c>
      <c r="F55" s="171"/>
    </row>
    <row r="56" spans="1:6" x14ac:dyDescent="0.35">
      <c r="A56" s="108" t="s">
        <v>295</v>
      </c>
      <c r="B56" s="108">
        <v>1</v>
      </c>
      <c r="C56" s="214">
        <v>1.5</v>
      </c>
      <c r="D56" s="108">
        <f>IFERROR(VLOOKUP(A56,[1]!TablaTransporte[#Data],2,FALSE),0)</f>
        <v>1250000</v>
      </c>
      <c r="E56" s="110">
        <f>B56*C56*D56</f>
        <v>1875000</v>
      </c>
      <c r="F56" s="171"/>
    </row>
    <row r="57" spans="1:6" x14ac:dyDescent="0.35">
      <c r="A57" s="108" t="s">
        <v>392</v>
      </c>
      <c r="B57" s="108">
        <v>1</v>
      </c>
      <c r="C57" s="108">
        <v>4</v>
      </c>
      <c r="D57" s="108">
        <f>IFERROR(VLOOKUP(A57,[1]!TablaTransporte[#Data],2,FALSE),0)</f>
        <v>840000</v>
      </c>
      <c r="E57" s="110">
        <f>B57*C57*D57</f>
        <v>3360000</v>
      </c>
      <c r="F57" s="172"/>
    </row>
    <row r="58" spans="1:6" x14ac:dyDescent="0.35">
      <c r="A58" s="43"/>
      <c r="B58" s="43"/>
      <c r="C58" s="43"/>
      <c r="D58" s="43"/>
      <c r="E58" s="43"/>
      <c r="F58" s="42">
        <f>SUM(E53:E57)</f>
        <v>19735000</v>
      </c>
    </row>
    <row r="59" spans="1:6" x14ac:dyDescent="0.35">
      <c r="A59" s="288"/>
      <c r="B59" s="289"/>
      <c r="C59" s="289"/>
      <c r="D59" s="289"/>
      <c r="E59" s="290"/>
      <c r="F59" s="42">
        <f>F22+F41+F51+F58</f>
        <v>122483256.78789999</v>
      </c>
    </row>
    <row r="60" spans="1:6" ht="15" thickBot="1" x14ac:dyDescent="0.4">
      <c r="A60" s="291"/>
      <c r="B60" s="292"/>
      <c r="C60" s="292"/>
      <c r="D60" s="292"/>
      <c r="E60" s="293"/>
      <c r="F60" s="44">
        <f>F59*A60</f>
        <v>0</v>
      </c>
    </row>
    <row r="61" spans="1:6" ht="15" thickBot="1" x14ac:dyDescent="0.4">
      <c r="A61" s="299"/>
      <c r="B61" s="300"/>
      <c r="C61" s="300"/>
      <c r="D61" s="300"/>
      <c r="E61" s="301"/>
      <c r="F61" s="28">
        <f>F59+F60</f>
        <v>122483256.78789999</v>
      </c>
    </row>
    <row r="62" spans="1:6" ht="15" thickBot="1" x14ac:dyDescent="0.4">
      <c r="A62" s="302"/>
      <c r="B62" s="300"/>
      <c r="C62" s="300"/>
      <c r="D62" s="300"/>
      <c r="E62" s="301"/>
      <c r="F62" s="28">
        <f>F61*A62</f>
        <v>0</v>
      </c>
    </row>
    <row r="63" spans="1:6" ht="15" thickBot="1" x14ac:dyDescent="0.4">
      <c r="A63" s="286"/>
      <c r="B63" s="286"/>
      <c r="C63" s="286"/>
      <c r="D63" s="286"/>
      <c r="E63" s="286"/>
      <c r="F63" s="28">
        <f>F61+F62</f>
        <v>122483256.78789999</v>
      </c>
    </row>
    <row r="64" spans="1:6" x14ac:dyDescent="0.35">
      <c r="F64" s="224">
        <f>F63/F3</f>
        <v>2187201.0140696424</v>
      </c>
    </row>
  </sheetData>
  <mergeCells count="11">
    <mergeCell ref="A62:E62"/>
    <mergeCell ref="A63:E63"/>
    <mergeCell ref="F42:F50"/>
    <mergeCell ref="A51:E51"/>
    <mergeCell ref="A59:E59"/>
    <mergeCell ref="A60:E60"/>
    <mergeCell ref="A41:E41"/>
    <mergeCell ref="A1:F1"/>
    <mergeCell ref="F4:F21"/>
    <mergeCell ref="A22:E22"/>
    <mergeCell ref="A61:E61"/>
  </mergeCells>
  <dataValidations count="4">
    <dataValidation type="list" allowBlank="1" showInputMessage="1" showErrorMessage="1" sqref="A24:A41" xr:uid="{3B9A942A-5E38-4EDA-B072-0EB2A1D19E26}">
      <formula1>ListaMateriales</formula1>
    </dataValidation>
    <dataValidation type="list" allowBlank="1" showInputMessage="1" showErrorMessage="1" sqref="A3:A22" xr:uid="{AD1CF1D8-2F18-4FD8-8509-58F04917EEBA}">
      <formula1>ListaEquipos</formula1>
    </dataValidation>
    <dataValidation type="list" allowBlank="1" showInputMessage="1" showErrorMessage="1" sqref="A43:A50" xr:uid="{7B67204C-C077-4E22-9D33-31E23D964D28}">
      <formula1>ListaProfesiones</formula1>
    </dataValidation>
    <dataValidation type="list" allowBlank="1" showInputMessage="1" showErrorMessage="1" sqref="A53:A56" xr:uid="{2DB1316F-6F31-4E7A-9A76-9A00D57BCFBF}">
      <formula1>ListaTransporte</formula1>
    </dataValidation>
  </dataValidation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44B6-9A7E-435D-85A0-B2E4E366BCDB}">
  <sheetPr>
    <tabColor rgb="FF00B050"/>
  </sheetPr>
  <dimension ref="A1:F51"/>
  <sheetViews>
    <sheetView topLeftCell="A37" workbookViewId="0">
      <selection activeCell="H46" sqref="H46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3.453125" customWidth="1"/>
  </cols>
  <sheetData>
    <row r="1" spans="1:6" ht="40" customHeight="1" x14ac:dyDescent="0.35">
      <c r="A1" s="312" t="s">
        <v>204</v>
      </c>
      <c r="B1" s="312"/>
      <c r="C1" s="312"/>
      <c r="D1" s="312"/>
      <c r="E1" s="312"/>
      <c r="F1" s="313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ACTUALIZADO'!C51</f>
        <v>ML</v>
      </c>
    </row>
    <row r="3" spans="1:6" x14ac:dyDescent="0.35">
      <c r="A3" s="33"/>
      <c r="B3" s="34"/>
      <c r="C3" s="45"/>
      <c r="D3" s="46"/>
      <c r="E3" s="37"/>
      <c r="F3" s="77">
        <f>'RESUMEN ACTUALIZADO'!D51</f>
        <v>211</v>
      </c>
    </row>
    <row r="4" spans="1:6" ht="15.5" x14ac:dyDescent="0.35">
      <c r="A4" s="122" t="s">
        <v>674</v>
      </c>
      <c r="B4" s="22">
        <v>2</v>
      </c>
      <c r="C4" s="23">
        <v>5</v>
      </c>
      <c r="D4" s="24">
        <v>3500</v>
      </c>
      <c r="E4" s="25">
        <f t="shared" ref="E4:E9" si="0">B4*C4*D4</f>
        <v>35000</v>
      </c>
      <c r="F4" s="310"/>
    </row>
    <row r="5" spans="1:6" ht="15.5" x14ac:dyDescent="0.35">
      <c r="A5" s="236" t="s">
        <v>676</v>
      </c>
      <c r="B5" s="22">
        <v>2</v>
      </c>
      <c r="C5" s="23">
        <v>5</v>
      </c>
      <c r="D5" s="24">
        <v>3500</v>
      </c>
      <c r="E5" s="25">
        <f t="shared" si="0"/>
        <v>35000</v>
      </c>
      <c r="F5" s="310"/>
    </row>
    <row r="6" spans="1:6" ht="31" x14ac:dyDescent="0.35">
      <c r="A6" s="122" t="s">
        <v>677</v>
      </c>
      <c r="B6" s="22">
        <v>6</v>
      </c>
      <c r="C6" s="23">
        <v>5</v>
      </c>
      <c r="D6" s="24">
        <v>3500</v>
      </c>
      <c r="E6" s="25">
        <f t="shared" si="0"/>
        <v>105000</v>
      </c>
      <c r="F6" s="310"/>
    </row>
    <row r="7" spans="1:6" ht="15.5" x14ac:dyDescent="0.35">
      <c r="A7" s="225" t="s">
        <v>342</v>
      </c>
      <c r="B7" s="22">
        <v>1</v>
      </c>
      <c r="C7" s="23">
        <v>5</v>
      </c>
      <c r="D7" s="24">
        <v>3500</v>
      </c>
      <c r="E7" s="25">
        <f t="shared" si="0"/>
        <v>17500</v>
      </c>
      <c r="F7" s="310"/>
    </row>
    <row r="8" spans="1:6" ht="15.5" x14ac:dyDescent="0.35">
      <c r="A8" s="122" t="s">
        <v>678</v>
      </c>
      <c r="B8" s="22">
        <v>1</v>
      </c>
      <c r="C8" s="23">
        <v>5</v>
      </c>
      <c r="D8" s="24">
        <v>35000</v>
      </c>
      <c r="E8" s="25">
        <f t="shared" si="0"/>
        <v>175000</v>
      </c>
      <c r="F8" s="310"/>
    </row>
    <row r="9" spans="1:6" ht="31" x14ac:dyDescent="0.35">
      <c r="A9" s="226" t="s">
        <v>341</v>
      </c>
      <c r="B9" s="22">
        <v>12</v>
      </c>
      <c r="C9" s="23">
        <v>5</v>
      </c>
      <c r="D9" s="238">
        <v>1000</v>
      </c>
      <c r="E9" s="25">
        <f t="shared" si="0"/>
        <v>60000</v>
      </c>
      <c r="F9" s="310"/>
    </row>
    <row r="10" spans="1:6" x14ac:dyDescent="0.35">
      <c r="A10" s="24"/>
      <c r="B10" s="22"/>
      <c r="C10" s="23"/>
      <c r="D10" s="24">
        <f>IFERROR(VLOOKUP(A10,[1]!TablaEquipos[#Data],2,FALSE),0)</f>
        <v>0</v>
      </c>
      <c r="E10" s="25"/>
      <c r="F10" s="310"/>
    </row>
    <row r="11" spans="1:6" x14ac:dyDescent="0.35">
      <c r="A11" s="24"/>
      <c r="B11" s="22"/>
      <c r="C11" s="23"/>
      <c r="D11" s="24">
        <f>IFERROR(VLOOKUP(A11,[1]!TablaEquipos[#Data],2,FALSE),0)</f>
        <v>0</v>
      </c>
      <c r="E11" s="25"/>
      <c r="F11" s="310"/>
    </row>
    <row r="12" spans="1:6" x14ac:dyDescent="0.35">
      <c r="A12" s="24"/>
      <c r="B12" s="22"/>
      <c r="C12" s="23"/>
      <c r="D12" s="24">
        <f>IFERROR(VLOOKUP(A12,[1]!TablaEquipos[#Data],2,FALSE),0)</f>
        <v>0</v>
      </c>
      <c r="E12" s="25"/>
      <c r="F12" s="310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/>
      <c r="F13" s="310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/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/>
      <c r="F15" s="310"/>
    </row>
    <row r="16" spans="1:6" ht="15" thickBot="1" x14ac:dyDescent="0.4">
      <c r="A16" s="294"/>
      <c r="B16" s="295"/>
      <c r="C16" s="295"/>
      <c r="D16" s="295"/>
      <c r="E16" s="295"/>
      <c r="F16" s="84">
        <f>SUM(E4:E15)</f>
        <v>427500</v>
      </c>
    </row>
    <row r="17" spans="1:6" x14ac:dyDescent="0.35">
      <c r="A17" s="33" t="s">
        <v>270</v>
      </c>
      <c r="B17" s="34" t="s">
        <v>83</v>
      </c>
      <c r="C17" s="45" t="s">
        <v>84</v>
      </c>
      <c r="D17" s="46" t="s">
        <v>269</v>
      </c>
      <c r="E17" s="37" t="s">
        <v>86</v>
      </c>
      <c r="F17" s="280"/>
    </row>
    <row r="18" spans="1:6" ht="15.5" x14ac:dyDescent="0.35">
      <c r="A18" s="236" t="s">
        <v>670</v>
      </c>
      <c r="B18" s="78">
        <v>8</v>
      </c>
      <c r="C18" s="23"/>
      <c r="D18" s="27">
        <f>IFERROR(VLOOKUP(A18,[1]!TablaMateriales[#Data],2,FALSE),0)</f>
        <v>584900</v>
      </c>
      <c r="E18" s="27">
        <f t="shared" ref="E18:E26" si="1">B18*D18</f>
        <v>4679200</v>
      </c>
      <c r="F18" s="282"/>
    </row>
    <row r="19" spans="1:6" ht="15.5" x14ac:dyDescent="0.35">
      <c r="A19" s="236" t="s">
        <v>671</v>
      </c>
      <c r="B19" s="78">
        <v>211</v>
      </c>
      <c r="C19" s="23"/>
      <c r="D19" s="27">
        <f>IFERROR(VLOOKUP(A19,[1]!TablaMateriales[#Data],2,FALSE),0)</f>
        <v>12615</v>
      </c>
      <c r="E19" s="27">
        <f t="shared" si="1"/>
        <v>2661765</v>
      </c>
      <c r="F19" s="282"/>
    </row>
    <row r="20" spans="1:6" ht="31" x14ac:dyDescent="0.35">
      <c r="A20" s="237" t="s">
        <v>672</v>
      </c>
      <c r="B20" s="78">
        <v>20</v>
      </c>
      <c r="C20" s="23"/>
      <c r="D20" s="27">
        <f>IFERROR(VLOOKUP(A20,[1]!TablaMateriales[#Data],2,FALSE),0)</f>
        <v>14900</v>
      </c>
      <c r="E20" s="27">
        <f t="shared" si="1"/>
        <v>298000</v>
      </c>
      <c r="F20" s="282"/>
    </row>
    <row r="21" spans="1:6" ht="31" x14ac:dyDescent="0.35">
      <c r="A21" s="236" t="s">
        <v>506</v>
      </c>
      <c r="B21" s="78">
        <v>8</v>
      </c>
      <c r="C21" s="23"/>
      <c r="D21" s="27">
        <f>IFERROR(VLOOKUP(A21,[1]!TablaMateriales[#Data],2,FALSE),0)</f>
        <v>8500</v>
      </c>
      <c r="E21" s="27">
        <f t="shared" si="1"/>
        <v>68000</v>
      </c>
      <c r="F21" s="282"/>
    </row>
    <row r="22" spans="1:6" ht="15.5" x14ac:dyDescent="0.35">
      <c r="A22" s="236" t="s">
        <v>673</v>
      </c>
      <c r="B22" s="78">
        <v>3</v>
      </c>
      <c r="C22" s="23"/>
      <c r="D22" s="27">
        <f>IFERROR(VLOOKUP(A22,[1]!TablaMateriales[#Data],2,FALSE),0)</f>
        <v>60000</v>
      </c>
      <c r="E22" s="27">
        <f t="shared" si="1"/>
        <v>180000</v>
      </c>
      <c r="F22" s="282"/>
    </row>
    <row r="23" spans="1:6" ht="15.5" x14ac:dyDescent="0.35">
      <c r="A23" s="207" t="s">
        <v>675</v>
      </c>
      <c r="B23" s="78">
        <v>10</v>
      </c>
      <c r="C23" s="23"/>
      <c r="D23" s="27">
        <f>IFERROR(VLOOKUP(A23,[1]!TablaMateriales[#Data],2,FALSE),0)</f>
        <v>8000</v>
      </c>
      <c r="E23" s="27">
        <f t="shared" si="1"/>
        <v>80000</v>
      </c>
      <c r="F23" s="282"/>
    </row>
    <row r="24" spans="1:6" ht="31" x14ac:dyDescent="0.35">
      <c r="A24" s="226" t="s">
        <v>261</v>
      </c>
      <c r="B24" s="78">
        <v>1</v>
      </c>
      <c r="C24" s="23"/>
      <c r="D24" s="27">
        <f>IFERROR(VLOOKUP(A24,[1]!TablaMateriales[#Data],2,FALSE),0)</f>
        <v>55000</v>
      </c>
      <c r="E24" s="27">
        <f t="shared" si="1"/>
        <v>55000</v>
      </c>
      <c r="F24" s="282"/>
    </row>
    <row r="25" spans="1:6" ht="15.5" x14ac:dyDescent="0.35">
      <c r="A25" s="236" t="s">
        <v>680</v>
      </c>
      <c r="B25" s="78">
        <v>10</v>
      </c>
      <c r="C25" s="23"/>
      <c r="D25" s="27">
        <f>IFERROR(VLOOKUP(A25,[1]!TablaMateriales[#Data],2,FALSE),0)</f>
        <v>0</v>
      </c>
      <c r="E25" s="27">
        <f t="shared" si="1"/>
        <v>0</v>
      </c>
      <c r="F25" s="282"/>
    </row>
    <row r="26" spans="1:6" ht="15.5" x14ac:dyDescent="0.35">
      <c r="A26" s="236" t="s">
        <v>149</v>
      </c>
      <c r="B26" s="78">
        <v>2</v>
      </c>
      <c r="C26" s="23"/>
      <c r="D26" s="27">
        <f>IFERROR(VLOOKUP(A26,[1]!TablaMateriales[#Data],2,FALSE),0)</f>
        <v>40000</v>
      </c>
      <c r="E26" s="27">
        <f t="shared" si="1"/>
        <v>80000</v>
      </c>
      <c r="F26" s="282"/>
    </row>
    <row r="27" spans="1:6" x14ac:dyDescent="0.35">
      <c r="A27" s="31"/>
      <c r="B27" s="78"/>
      <c r="C27" s="23"/>
      <c r="D27" s="27">
        <f>IFERROR(VLOOKUP(A27,[1]!TablaMateriales[#Data],2,FALSE),0)</f>
        <v>0</v>
      </c>
      <c r="E27" s="27"/>
      <c r="F27" s="282"/>
    </row>
    <row r="28" spans="1:6" ht="15" thickBot="1" x14ac:dyDescent="0.4">
      <c r="A28" s="31"/>
      <c r="B28" s="78"/>
      <c r="C28" s="23"/>
      <c r="D28" s="27">
        <f>IFERROR(VLOOKUP(A28,[1]!TablaMateriales[#Data],2,FALSE),0)</f>
        <v>0</v>
      </c>
      <c r="E28" s="27"/>
      <c r="F28" s="282"/>
    </row>
    <row r="29" spans="1:6" ht="15" thickBot="1" x14ac:dyDescent="0.4">
      <c r="A29" s="296"/>
      <c r="B29" s="297"/>
      <c r="C29" s="297"/>
      <c r="D29" s="297"/>
      <c r="E29" s="298"/>
      <c r="F29" s="28">
        <f>SUM(E18:E28)</f>
        <v>8101965</v>
      </c>
    </row>
    <row r="30" spans="1:6" x14ac:dyDescent="0.35">
      <c r="A30" s="33" t="s">
        <v>88</v>
      </c>
      <c r="B30" s="34" t="s">
        <v>83</v>
      </c>
      <c r="C30" s="35" t="s">
        <v>84</v>
      </c>
      <c r="D30" s="36" t="s">
        <v>89</v>
      </c>
      <c r="E30" s="37" t="s">
        <v>86</v>
      </c>
      <c r="F30" s="280"/>
    </row>
    <row r="31" spans="1:6" x14ac:dyDescent="0.35">
      <c r="A31" s="38" t="s">
        <v>272</v>
      </c>
      <c r="B31" s="34">
        <v>1</v>
      </c>
      <c r="C31" s="35">
        <v>4.66</v>
      </c>
      <c r="D31" s="39">
        <f>IFERROR(VLOOKUP(A31,[1]!Tabla8[#Data],3,FALSE),0)</f>
        <v>555393.74067333317</v>
      </c>
      <c r="E31" s="37">
        <f>B31*C31*D31</f>
        <v>2588134.8315377329</v>
      </c>
      <c r="F31" s="281"/>
    </row>
    <row r="32" spans="1:6" x14ac:dyDescent="0.35">
      <c r="A32" s="107" t="s">
        <v>273</v>
      </c>
      <c r="B32" s="20">
        <v>1</v>
      </c>
      <c r="C32" s="40">
        <v>1.66</v>
      </c>
      <c r="D32" s="39">
        <f>IFERROR(VLOOKUP(A32,[1]!Tabla8[#Data],3,FALSE),0)</f>
        <v>555393.74067333317</v>
      </c>
      <c r="E32" s="21">
        <f t="shared" ref="E32:E38" si="2">B32*C32*D32</f>
        <v>921953.60951773298</v>
      </c>
      <c r="F32" s="281"/>
    </row>
    <row r="33" spans="1:6" x14ac:dyDescent="0.35">
      <c r="A33" s="107" t="s">
        <v>277</v>
      </c>
      <c r="B33" s="20">
        <v>1</v>
      </c>
      <c r="C33" s="35"/>
      <c r="D33" s="39">
        <f>IFERROR(VLOOKUP(A33,[1]!Tabla8[#Data],3,FALSE),0)</f>
        <v>555393.74067333317</v>
      </c>
      <c r="E33" s="21">
        <f>B33*C33*D33</f>
        <v>0</v>
      </c>
      <c r="F33" s="281"/>
    </row>
    <row r="34" spans="1:6" x14ac:dyDescent="0.35">
      <c r="A34" s="107" t="s">
        <v>278</v>
      </c>
      <c r="B34" s="20">
        <v>1.5</v>
      </c>
      <c r="C34" s="35"/>
      <c r="D34" s="39">
        <f>IFERROR(VLOOKUP(A34,[1]!Tabla8[#Data],3,FALSE),0)</f>
        <v>407197.80492666672</v>
      </c>
      <c r="E34" s="21">
        <f>B34*C34*D34</f>
        <v>0</v>
      </c>
      <c r="F34" s="281"/>
    </row>
    <row r="35" spans="1:6" x14ac:dyDescent="0.35">
      <c r="A35" s="107" t="s">
        <v>276</v>
      </c>
      <c r="B35" s="20">
        <v>2</v>
      </c>
      <c r="C35" s="35"/>
      <c r="D35" s="39">
        <f>IFERROR(VLOOKUP(A35,[1]!Tabla8[#Data],3,FALSE),0)</f>
        <v>407197.80492666672</v>
      </c>
      <c r="E35" s="21">
        <f>B35*C35*D35</f>
        <v>0</v>
      </c>
      <c r="F35" s="281"/>
    </row>
    <row r="36" spans="1:6" x14ac:dyDescent="0.35">
      <c r="A36" s="107" t="s">
        <v>274</v>
      </c>
      <c r="B36" s="20">
        <v>1</v>
      </c>
      <c r="C36" s="35">
        <v>2.4900000000000002</v>
      </c>
      <c r="D36" s="39">
        <f>IFERROR(VLOOKUP(A36,[1]!Tabla8[#Data],3,FALSE),0)</f>
        <v>371571.3297066667</v>
      </c>
      <c r="E36" s="21">
        <f t="shared" si="2"/>
        <v>925212.61096960015</v>
      </c>
      <c r="F36" s="281"/>
    </row>
    <row r="37" spans="1:6" x14ac:dyDescent="0.35">
      <c r="A37" s="107" t="s">
        <v>223</v>
      </c>
      <c r="B37" s="20">
        <v>1</v>
      </c>
      <c r="C37" s="35">
        <v>1.66</v>
      </c>
      <c r="D37" s="39">
        <f>IFERROR(VLOOKUP(A37,[1]!Tabla8[#Data],3,FALSE),0)</f>
        <v>355821.87609999999</v>
      </c>
      <c r="E37" s="21">
        <f>B37*C37*D37</f>
        <v>590664.31432599993</v>
      </c>
      <c r="F37" s="281"/>
    </row>
    <row r="38" spans="1:6" x14ac:dyDescent="0.35">
      <c r="A38" s="107" t="s">
        <v>275</v>
      </c>
      <c r="B38" s="20">
        <v>2</v>
      </c>
      <c r="C38" s="40">
        <v>4.9800000000000004</v>
      </c>
      <c r="D38" s="39">
        <f>IFERROR(VLOOKUP(A38,[1]!Tabla8[#Data],3,FALSE),0)</f>
        <v>382109.06042666658</v>
      </c>
      <c r="E38" s="21">
        <f t="shared" si="2"/>
        <v>3805806.2418495994</v>
      </c>
      <c r="F38" s="281"/>
    </row>
    <row r="39" spans="1:6" x14ac:dyDescent="0.35">
      <c r="A39" s="287">
        <v>3</v>
      </c>
      <c r="B39" s="287"/>
      <c r="C39" s="287"/>
      <c r="D39" s="287"/>
      <c r="E39" s="287"/>
      <c r="F39" s="42">
        <f>SUM(E31:E38)</f>
        <v>8831771.6082006656</v>
      </c>
    </row>
    <row r="40" spans="1:6" x14ac:dyDescent="0.35">
      <c r="A40" s="33" t="s">
        <v>279</v>
      </c>
      <c r="B40" s="34" t="s">
        <v>83</v>
      </c>
      <c r="C40" s="35" t="s">
        <v>84</v>
      </c>
      <c r="D40" s="36" t="s">
        <v>269</v>
      </c>
      <c r="E40" s="37" t="s">
        <v>86</v>
      </c>
      <c r="F40" s="283"/>
    </row>
    <row r="41" spans="1:6" x14ac:dyDescent="0.35">
      <c r="A41" s="108" t="s">
        <v>240</v>
      </c>
      <c r="B41" s="108">
        <v>1</v>
      </c>
      <c r="C41" s="108"/>
      <c r="D41" s="108">
        <f>IFERROR(VLOOKUP(A41,[1]!TablaTransporte[#Data],2,FALSE),0)</f>
        <v>550000</v>
      </c>
      <c r="E41" s="110">
        <f>B41*C41*D41</f>
        <v>0</v>
      </c>
      <c r="F41" s="284"/>
    </row>
    <row r="42" spans="1:6" x14ac:dyDescent="0.35">
      <c r="A42" s="108" t="s">
        <v>241</v>
      </c>
      <c r="B42" s="108">
        <v>1</v>
      </c>
      <c r="C42" s="108"/>
      <c r="D42" s="108">
        <f>IFERROR(VLOOKUP(A42,[1]!TablaTransporte[#Data],2,FALSE),0)</f>
        <v>65000</v>
      </c>
      <c r="E42" s="108">
        <f>B42*C42*D42</f>
        <v>0</v>
      </c>
      <c r="F42" s="284"/>
    </row>
    <row r="43" spans="1:6" x14ac:dyDescent="0.35">
      <c r="A43" s="41" t="s">
        <v>681</v>
      </c>
      <c r="B43" s="41">
        <v>1</v>
      </c>
      <c r="C43" s="41">
        <v>1.4</v>
      </c>
      <c r="D43" s="41">
        <f>IFERROR(VLOOKUP(A43,[1]!TablaTransporte[#Data],2,FALSE),0)</f>
        <v>0</v>
      </c>
      <c r="E43" s="41">
        <f>B43*C43*D43</f>
        <v>0</v>
      </c>
      <c r="F43" s="284"/>
    </row>
    <row r="44" spans="1:6" x14ac:dyDescent="0.35">
      <c r="A44" s="41"/>
      <c r="B44" s="41"/>
      <c r="C44" s="41"/>
      <c r="D44" s="41">
        <f>IFERROR(VLOOKUP(A44,[1]!TablaTransporte[#Data],2,FALSE),0)</f>
        <v>0</v>
      </c>
      <c r="E44" s="41"/>
      <c r="F44" s="285"/>
    </row>
    <row r="45" spans="1:6" x14ac:dyDescent="0.35">
      <c r="A45" s="43"/>
      <c r="B45" s="43"/>
      <c r="C45" s="43"/>
      <c r="D45" s="43"/>
      <c r="E45" s="43"/>
      <c r="F45" s="42">
        <f>SUM(E40:E43)</f>
        <v>0</v>
      </c>
    </row>
    <row r="46" spans="1:6" x14ac:dyDescent="0.35">
      <c r="A46" s="288"/>
      <c r="B46" s="289"/>
      <c r="C46" s="289"/>
      <c r="D46" s="289"/>
      <c r="E46" s="290"/>
      <c r="F46" s="239">
        <f>F16+F29+F39+F45</f>
        <v>17361236.608200666</v>
      </c>
    </row>
    <row r="47" spans="1:6" ht="15" thickBot="1" x14ac:dyDescent="0.4">
      <c r="A47" s="291"/>
      <c r="B47" s="292"/>
      <c r="C47" s="292"/>
      <c r="D47" s="292"/>
      <c r="E47" s="293"/>
      <c r="F47" s="44">
        <f>F46*A47</f>
        <v>0</v>
      </c>
    </row>
    <row r="48" spans="1:6" ht="15" thickBot="1" x14ac:dyDescent="0.4">
      <c r="A48" s="299"/>
      <c r="B48" s="300"/>
      <c r="C48" s="300"/>
      <c r="D48" s="300"/>
      <c r="E48" s="301"/>
      <c r="F48" s="28">
        <f>F46+F47</f>
        <v>17361236.608200666</v>
      </c>
    </row>
    <row r="49" spans="1:6" ht="15" thickBot="1" x14ac:dyDescent="0.4">
      <c r="A49" s="302"/>
      <c r="B49" s="300"/>
      <c r="C49" s="300"/>
      <c r="D49" s="300"/>
      <c r="E49" s="301"/>
      <c r="F49" s="28">
        <f>F48*A49</f>
        <v>0</v>
      </c>
    </row>
    <row r="50" spans="1:6" ht="15" thickBot="1" x14ac:dyDescent="0.4">
      <c r="A50" s="286"/>
      <c r="B50" s="286"/>
      <c r="C50" s="286"/>
      <c r="D50" s="286"/>
      <c r="E50" s="286"/>
      <c r="F50" s="28">
        <f>F48+F49</f>
        <v>17361236.608200666</v>
      </c>
    </row>
    <row r="51" spans="1:6" x14ac:dyDescent="0.35">
      <c r="F51" s="277">
        <f>F50/F3</f>
        <v>82280.742218960499</v>
      </c>
    </row>
  </sheetData>
  <mergeCells count="13">
    <mergeCell ref="A48:E48"/>
    <mergeCell ref="A49:E49"/>
    <mergeCell ref="A50:E50"/>
    <mergeCell ref="F30:F38"/>
    <mergeCell ref="A39:E39"/>
    <mergeCell ref="F40:F44"/>
    <mergeCell ref="A46:E46"/>
    <mergeCell ref="A47:E47"/>
    <mergeCell ref="A29:E29"/>
    <mergeCell ref="A1:F1"/>
    <mergeCell ref="F4:F15"/>
    <mergeCell ref="A16:E16"/>
    <mergeCell ref="F17:F28"/>
  </mergeCells>
  <dataValidations count="4">
    <dataValidation type="list" allowBlank="1" showInputMessage="1" showErrorMessage="1" sqref="A42:A44" xr:uid="{B4059889-0B69-4B11-800B-D0920EBA562F}">
      <formula1>ListaTransporte</formula1>
    </dataValidation>
    <dataValidation type="list" allowBlank="1" showInputMessage="1" showErrorMessage="1" sqref="A31:A38" xr:uid="{012FA838-32C9-4BCF-B09F-9E941D5723E4}">
      <formula1>ListaProfesiones</formula1>
    </dataValidation>
    <dataValidation type="list" allowBlank="1" showInputMessage="1" showErrorMessage="1" sqref="A18:A29" xr:uid="{EB780DA6-2547-43D8-87D5-88A02FAA0461}">
      <formula1>ListaMateriales</formula1>
    </dataValidation>
    <dataValidation type="list" allowBlank="1" showInputMessage="1" showErrorMessage="1" sqref="A3:A16" xr:uid="{F3529C7E-B171-44A7-8D8F-F9BD3A2B193E}">
      <formula1>ListaEquipos</formula1>
    </dataValidation>
  </dataValidation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86397-D010-4C84-8D8D-B4C614C36B8F}">
  <sheetPr>
    <tabColor rgb="FF00B050"/>
  </sheetPr>
  <dimension ref="A1:I63"/>
  <sheetViews>
    <sheetView topLeftCell="A49" workbookViewId="0">
      <selection sqref="A1:F1"/>
    </sheetView>
  </sheetViews>
  <sheetFormatPr baseColWidth="10" defaultRowHeight="14.5" x14ac:dyDescent="0.35"/>
  <cols>
    <col min="1" max="1" width="22.90625" bestFit="1" customWidth="1"/>
    <col min="2" max="2" width="5.6328125" bestFit="1" customWidth="1"/>
    <col min="3" max="3" width="9.6328125" bestFit="1" customWidth="1"/>
    <col min="4" max="4" width="10.1796875" bestFit="1" customWidth="1"/>
    <col min="5" max="5" width="11.7265625" bestFit="1" customWidth="1"/>
    <col min="6" max="6" width="11.6328125" bestFit="1" customWidth="1"/>
  </cols>
  <sheetData>
    <row r="1" spans="1:6" x14ac:dyDescent="0.35">
      <c r="A1" s="306" t="s">
        <v>205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ACTUALIZADO'!C52</f>
        <v>ML</v>
      </c>
    </row>
    <row r="3" spans="1:6" x14ac:dyDescent="0.35">
      <c r="F3" s="77">
        <f>'RESUMEN ACTUALIZADO'!D52</f>
        <v>7</v>
      </c>
    </row>
    <row r="4" spans="1:6" ht="15.5" x14ac:dyDescent="0.35">
      <c r="A4" s="122" t="s">
        <v>674</v>
      </c>
      <c r="B4" s="22">
        <v>1</v>
      </c>
      <c r="C4" s="23">
        <v>0.5</v>
      </c>
      <c r="D4" s="24">
        <v>3500</v>
      </c>
      <c r="E4" s="25">
        <f t="shared" ref="E4:E9" si="0">B4*C4*D4</f>
        <v>1750</v>
      </c>
      <c r="F4" s="310"/>
    </row>
    <row r="5" spans="1:6" ht="15.5" x14ac:dyDescent="0.35">
      <c r="A5" s="236" t="s">
        <v>676</v>
      </c>
      <c r="B5" s="22">
        <v>1</v>
      </c>
      <c r="C5" s="23">
        <v>0.5</v>
      </c>
      <c r="D5" s="24">
        <v>3500</v>
      </c>
      <c r="E5" s="25">
        <f t="shared" si="0"/>
        <v>1750</v>
      </c>
      <c r="F5" s="310"/>
    </row>
    <row r="6" spans="1:6" ht="31" x14ac:dyDescent="0.35">
      <c r="A6" s="122" t="s">
        <v>677</v>
      </c>
      <c r="B6" s="22">
        <v>1</v>
      </c>
      <c r="C6" s="23">
        <v>0.5</v>
      </c>
      <c r="D6" s="24">
        <v>3500</v>
      </c>
      <c r="E6" s="25">
        <f t="shared" si="0"/>
        <v>1750</v>
      </c>
      <c r="F6" s="310"/>
    </row>
    <row r="7" spans="1:6" ht="15.5" x14ac:dyDescent="0.35">
      <c r="A7" s="225" t="s">
        <v>342</v>
      </c>
      <c r="B7" s="22">
        <v>1</v>
      </c>
      <c r="C7" s="23">
        <v>0.5</v>
      </c>
      <c r="D7" s="24">
        <v>3500</v>
      </c>
      <c r="E7" s="25">
        <f t="shared" si="0"/>
        <v>1750</v>
      </c>
      <c r="F7" s="310"/>
    </row>
    <row r="8" spans="1:6" ht="15.5" x14ac:dyDescent="0.35">
      <c r="A8" s="122" t="s">
        <v>678</v>
      </c>
      <c r="B8" s="22">
        <v>1</v>
      </c>
      <c r="C8" s="23">
        <v>0.5</v>
      </c>
      <c r="D8" s="24">
        <v>35000</v>
      </c>
      <c r="E8" s="25">
        <f t="shared" si="0"/>
        <v>17500</v>
      </c>
      <c r="F8" s="310"/>
    </row>
    <row r="9" spans="1:6" x14ac:dyDescent="0.35">
      <c r="A9" s="240" t="s">
        <v>341</v>
      </c>
      <c r="B9" s="241">
        <v>3</v>
      </c>
      <c r="C9" s="242">
        <v>0.5</v>
      </c>
      <c r="D9" s="243">
        <v>1000</v>
      </c>
      <c r="E9" s="244">
        <f t="shared" si="0"/>
        <v>1500</v>
      </c>
      <c r="F9" s="310"/>
    </row>
    <row r="10" spans="1:6" x14ac:dyDescent="0.35">
      <c r="A10" s="81"/>
      <c r="B10" s="82"/>
      <c r="C10" s="32"/>
      <c r="D10" s="81"/>
      <c r="E10" s="83"/>
      <c r="F10" s="310"/>
    </row>
    <row r="11" spans="1:6" x14ac:dyDescent="0.35">
      <c r="A11" s="24"/>
      <c r="B11" s="22"/>
      <c r="C11" s="23"/>
      <c r="D11" s="24"/>
      <c r="E11" s="25"/>
      <c r="F11" s="310"/>
    </row>
    <row r="12" spans="1:6" x14ac:dyDescent="0.35">
      <c r="A12" s="24"/>
      <c r="B12" s="22"/>
      <c r="C12" s="23"/>
      <c r="D12" s="24"/>
      <c r="E12" s="25"/>
      <c r="F12" s="310"/>
    </row>
    <row r="13" spans="1:6" x14ac:dyDescent="0.35">
      <c r="A13" s="24"/>
      <c r="B13" s="22"/>
      <c r="C13" s="23"/>
      <c r="D13" s="24"/>
      <c r="E13" s="25"/>
      <c r="F13" s="310"/>
    </row>
    <row r="14" spans="1:6" x14ac:dyDescent="0.35">
      <c r="A14" s="24"/>
      <c r="B14" s="22"/>
      <c r="C14" s="23"/>
      <c r="D14" s="24"/>
      <c r="E14" s="25"/>
      <c r="F14" s="310"/>
    </row>
    <row r="15" spans="1:6" x14ac:dyDescent="0.35">
      <c r="A15" s="24"/>
      <c r="B15" s="22"/>
      <c r="C15" s="23"/>
      <c r="D15" s="24"/>
      <c r="E15" s="25"/>
      <c r="F15" s="310"/>
    </row>
    <row r="16" spans="1:6" x14ac:dyDescent="0.35">
      <c r="A16" s="24"/>
      <c r="B16" s="22"/>
      <c r="C16" s="23"/>
      <c r="D16" s="24"/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SUM(E5:E21)</f>
        <v>24250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5" t="s">
        <v>670</v>
      </c>
      <c r="B24" s="250">
        <v>0.33</v>
      </c>
      <c r="C24" s="242"/>
      <c r="D24" s="247">
        <f>IFERROR(VLOOKUP(A24,[1]!TablaMateriales[#Data],2,FALSE),0)</f>
        <v>584900</v>
      </c>
      <c r="E24" s="247">
        <f t="shared" ref="E24:E32" si="1">B24*D24</f>
        <v>193017</v>
      </c>
      <c r="F24" s="281"/>
    </row>
    <row r="25" spans="1:6" x14ac:dyDescent="0.35">
      <c r="A25" s="245" t="s">
        <v>671</v>
      </c>
      <c r="B25" s="246">
        <v>22</v>
      </c>
      <c r="C25" s="242"/>
      <c r="D25" s="247">
        <f>IFERROR(VLOOKUP(A25,[1]!TablaMateriales[#Data],2,FALSE),0)</f>
        <v>12615</v>
      </c>
      <c r="E25" s="247">
        <f t="shared" si="1"/>
        <v>277530</v>
      </c>
      <c r="F25" s="281"/>
    </row>
    <row r="26" spans="1:6" x14ac:dyDescent="0.35">
      <c r="A26" s="248" t="s">
        <v>672</v>
      </c>
      <c r="B26" s="246">
        <v>1</v>
      </c>
      <c r="C26" s="242"/>
      <c r="D26" s="247">
        <f>IFERROR(VLOOKUP(A26,[1]!TablaMateriales[#Data],2,FALSE),0)</f>
        <v>14900</v>
      </c>
      <c r="E26" s="247">
        <f t="shared" si="1"/>
        <v>14900</v>
      </c>
      <c r="F26" s="281"/>
    </row>
    <row r="27" spans="1:6" ht="26" x14ac:dyDescent="0.35">
      <c r="A27" s="245" t="s">
        <v>506</v>
      </c>
      <c r="B27" s="246">
        <v>0.33</v>
      </c>
      <c r="C27" s="242"/>
      <c r="D27" s="247">
        <f>IFERROR(VLOOKUP(A27,[1]!TablaMateriales[#Data],2,FALSE),0)</f>
        <v>8500</v>
      </c>
      <c r="E27" s="247">
        <f t="shared" si="1"/>
        <v>2805</v>
      </c>
      <c r="F27" s="281"/>
    </row>
    <row r="28" spans="1:6" x14ac:dyDescent="0.35">
      <c r="A28" s="245" t="s">
        <v>673</v>
      </c>
      <c r="B28" s="246">
        <v>0.15</v>
      </c>
      <c r="C28" s="242"/>
      <c r="D28" s="247">
        <f>IFERROR(VLOOKUP(A28,[1]!TablaMateriales[#Data],2,FALSE),0)</f>
        <v>60000</v>
      </c>
      <c r="E28" s="247">
        <f t="shared" si="1"/>
        <v>9000</v>
      </c>
      <c r="F28" s="281"/>
    </row>
    <row r="29" spans="1:6" x14ac:dyDescent="0.35">
      <c r="A29" s="249" t="s">
        <v>675</v>
      </c>
      <c r="B29" s="246">
        <v>1.5</v>
      </c>
      <c r="C29" s="242"/>
      <c r="D29" s="247">
        <f>IFERROR(VLOOKUP(A29,[1]!TablaMateriales[#Data],2,FALSE),0)</f>
        <v>8000</v>
      </c>
      <c r="E29" s="247">
        <f t="shared" si="1"/>
        <v>12000</v>
      </c>
      <c r="F29" s="281"/>
    </row>
    <row r="30" spans="1:6" ht="26.5" x14ac:dyDescent="0.35">
      <c r="A30" s="240" t="s">
        <v>261</v>
      </c>
      <c r="B30" s="246">
        <v>0.05</v>
      </c>
      <c r="C30" s="242"/>
      <c r="D30" s="247">
        <f>IFERROR(VLOOKUP(A30,[1]!TablaMateriales[#Data],2,FALSE),0)</f>
        <v>55000</v>
      </c>
      <c r="E30" s="247">
        <f t="shared" si="1"/>
        <v>2750</v>
      </c>
      <c r="F30" s="281"/>
    </row>
    <row r="31" spans="1:6" x14ac:dyDescent="0.35">
      <c r="A31" s="245" t="s">
        <v>680</v>
      </c>
      <c r="B31" s="246">
        <v>2</v>
      </c>
      <c r="C31" s="242"/>
      <c r="D31" s="247">
        <f>IFERROR(VLOOKUP(A31,[1]!TablaMateriales[#Data],2,FALSE),0)</f>
        <v>0</v>
      </c>
      <c r="E31" s="247">
        <f t="shared" si="1"/>
        <v>0</v>
      </c>
      <c r="F31" s="281"/>
    </row>
    <row r="32" spans="1:6" x14ac:dyDescent="0.35">
      <c r="A32" s="245" t="s">
        <v>149</v>
      </c>
      <c r="B32" s="246"/>
      <c r="C32" s="242"/>
      <c r="D32" s="247">
        <f>IFERROR(VLOOKUP(A32,[1]!TablaMateriales[#Data],2,FALSE),0)</f>
        <v>40000</v>
      </c>
      <c r="E32" s="247">
        <f t="shared" si="1"/>
        <v>0</v>
      </c>
      <c r="F32" s="281"/>
    </row>
    <row r="33" spans="1:9" x14ac:dyDescent="0.35">
      <c r="A33" s="30"/>
      <c r="B33" s="78"/>
      <c r="C33" s="23"/>
      <c r="D33" s="27"/>
      <c r="E33" s="25"/>
      <c r="F33" s="281"/>
    </row>
    <row r="34" spans="1:9" x14ac:dyDescent="0.35">
      <c r="A34" s="31"/>
      <c r="B34" s="78"/>
      <c r="C34" s="23"/>
      <c r="D34" s="27"/>
      <c r="E34" s="25"/>
      <c r="F34" s="281"/>
    </row>
    <row r="35" spans="1:9" x14ac:dyDescent="0.35">
      <c r="A35" s="31"/>
      <c r="B35" s="78"/>
      <c r="C35" s="23"/>
      <c r="D35" s="27"/>
      <c r="E35" s="27"/>
      <c r="F35" s="282"/>
    </row>
    <row r="36" spans="1:9" x14ac:dyDescent="0.35">
      <c r="A36" s="31"/>
      <c r="B36" s="78"/>
      <c r="C36" s="23"/>
      <c r="D36" s="27"/>
      <c r="E36" s="27"/>
      <c r="F36" s="282"/>
    </row>
    <row r="37" spans="1:9" x14ac:dyDescent="0.35">
      <c r="A37" s="31"/>
      <c r="B37" s="78"/>
      <c r="C37" s="23"/>
      <c r="D37" s="27"/>
      <c r="E37" s="27"/>
      <c r="F37" s="282"/>
    </row>
    <row r="38" spans="1:9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9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9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9" ht="15" thickBot="1" x14ac:dyDescent="0.4">
      <c r="A41" s="296"/>
      <c r="B41" s="297"/>
      <c r="C41" s="297"/>
      <c r="D41" s="297"/>
      <c r="E41" s="298"/>
      <c r="F41" s="28">
        <f>SUM(E24:E40)</f>
        <v>512002</v>
      </c>
    </row>
    <row r="42" spans="1:9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9" x14ac:dyDescent="0.35">
      <c r="A43" s="38" t="s">
        <v>272</v>
      </c>
      <c r="B43" s="34">
        <v>1</v>
      </c>
      <c r="C43" s="35"/>
      <c r="D43" s="39">
        <f>IFERROR(VLOOKUP(A43,[1]!Tabla8[#Data],3,FALSE),0)</f>
        <v>555393.74067333317</v>
      </c>
      <c r="E43" s="37">
        <f>B43*C43*D43</f>
        <v>0</v>
      </c>
      <c r="F43" s="281"/>
    </row>
    <row r="44" spans="1:9" x14ac:dyDescent="0.35">
      <c r="A44" s="107" t="s">
        <v>273</v>
      </c>
      <c r="B44" s="20">
        <v>1</v>
      </c>
      <c r="C44" s="40"/>
      <c r="D44" s="39">
        <f>IFERROR(VLOOKUP(A44,[1]!Tabla8[#Data],3,FALSE),0)</f>
        <v>555393.74067333317</v>
      </c>
      <c r="E44" s="21">
        <f t="shared" ref="E44:E50" si="2">B44*C44*D44</f>
        <v>0</v>
      </c>
      <c r="F44" s="281"/>
    </row>
    <row r="45" spans="1:9" x14ac:dyDescent="0.35">
      <c r="A45" s="107" t="s">
        <v>277</v>
      </c>
      <c r="B45" s="20">
        <v>1</v>
      </c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9" x14ac:dyDescent="0.35">
      <c r="A46" s="107" t="s">
        <v>278</v>
      </c>
      <c r="B46" s="20">
        <v>1.5</v>
      </c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9" x14ac:dyDescent="0.35">
      <c r="A47" s="107" t="s">
        <v>276</v>
      </c>
      <c r="B47" s="20">
        <v>2</v>
      </c>
      <c r="C47" s="35"/>
      <c r="D47" s="39">
        <f>IFERROR(VLOOKUP(A47,[1]!Tabla8[#Data],3,FALSE),0)</f>
        <v>407197.80492666672</v>
      </c>
      <c r="E47" s="21">
        <f>B47*C47*D47</f>
        <v>0</v>
      </c>
      <c r="F47" s="281"/>
      <c r="I47" s="251"/>
    </row>
    <row r="48" spans="1:9" x14ac:dyDescent="0.35">
      <c r="A48" s="107" t="s">
        <v>274</v>
      </c>
      <c r="B48" s="20">
        <v>1</v>
      </c>
      <c r="C48" s="35"/>
      <c r="D48" s="39">
        <f>IFERROR(VLOOKUP(A48,[1]!Tabla8[#Data],3,FALSE),0)</f>
        <v>371571.3297066667</v>
      </c>
      <c r="E48" s="21">
        <f t="shared" si="2"/>
        <v>0</v>
      </c>
      <c r="F48" s="281"/>
    </row>
    <row r="49" spans="1:6" x14ac:dyDescent="0.35">
      <c r="A49" s="107" t="s">
        <v>223</v>
      </c>
      <c r="B49" s="20">
        <v>1</v>
      </c>
      <c r="C49" s="35">
        <v>0.59</v>
      </c>
      <c r="D49" s="39">
        <f>IFERROR(VLOOKUP(A49,[1]!Tabla8[#Data],3,FALSE),0)</f>
        <v>355821.87609999999</v>
      </c>
      <c r="E49" s="21">
        <f>B49*C49*D49</f>
        <v>209934.90689899999</v>
      </c>
      <c r="F49" s="281"/>
    </row>
    <row r="50" spans="1:6" x14ac:dyDescent="0.35">
      <c r="A50" s="107" t="s">
        <v>275</v>
      </c>
      <c r="B50" s="20">
        <v>2</v>
      </c>
      <c r="C50" s="40">
        <v>0.59</v>
      </c>
      <c r="D50" s="39">
        <f>IFERROR(VLOOKUP(A50,[1]!Tabla8[#Data],3,FALSE),0)</f>
        <v>382109.06042666658</v>
      </c>
      <c r="E50" s="21">
        <f t="shared" si="2"/>
        <v>450888.69130346656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660823.5982024665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08"/>
      <c r="D53" s="108">
        <f>IFERROR(VLOOKUP(A53,[1]!TablaTransporte[#Data],2,FALSE),0)</f>
        <v>550000</v>
      </c>
      <c r="E53" s="110">
        <f>B53*C53*D53</f>
        <v>0</v>
      </c>
      <c r="F53" s="284"/>
    </row>
    <row r="54" spans="1:6" x14ac:dyDescent="0.35">
      <c r="A54" s="108" t="s">
        <v>241</v>
      </c>
      <c r="B54" s="108">
        <v>1</v>
      </c>
      <c r="C54" s="108"/>
      <c r="D54" s="108">
        <f>IFERROR(VLOOKUP(A54,[1]!TablaTransporte[#Data],2,FALSE),0)</f>
        <v>65000</v>
      </c>
      <c r="E54" s="108">
        <f>B54*C54*D54</f>
        <v>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1197075.5982024665</v>
      </c>
    </row>
    <row r="59" spans="1:6" ht="15" thickBot="1" x14ac:dyDescent="0.4">
      <c r="A59" s="291"/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1197075.5982024665</v>
      </c>
    </row>
    <row r="61" spans="1:6" ht="15" thickBot="1" x14ac:dyDescent="0.4">
      <c r="A61" s="302"/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1197075.5982024665</v>
      </c>
    </row>
    <row r="63" spans="1:6" x14ac:dyDescent="0.35">
      <c r="F63" s="80">
        <f>F62/F3</f>
        <v>171010.7997432095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47D79028-1C56-40FF-BE30-0883B186AF17}">
      <formula1>ListaMateriales</formula1>
    </dataValidation>
    <dataValidation type="list" allowBlank="1" showInputMessage="1" showErrorMessage="1" sqref="A54:A56" xr:uid="{42764AC2-3B7B-4BBF-A587-E58270979BAD}">
      <formula1>ListaTransporte</formula1>
    </dataValidation>
    <dataValidation type="list" allowBlank="1" showInputMessage="1" showErrorMessage="1" sqref="A43:A50" xr:uid="{E9379EBB-75D4-43C7-8092-F97B81396041}">
      <formula1>ListaProfesiones</formula1>
    </dataValidation>
    <dataValidation type="list" allowBlank="1" showInputMessage="1" showErrorMessage="1" sqref="A4:A22" xr:uid="{EE04F900-F49E-4F45-A889-B54FAFA099BA}">
      <formula1>ListaEquipos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89"/>
  <sheetViews>
    <sheetView topLeftCell="A65" zoomScaleNormal="100" workbookViewId="0">
      <selection activeCell="E63" sqref="E63:E69"/>
    </sheetView>
  </sheetViews>
  <sheetFormatPr baseColWidth="10" defaultRowHeight="15.5" x14ac:dyDescent="0.35"/>
  <cols>
    <col min="1" max="1" width="4.26953125" bestFit="1" customWidth="1"/>
    <col min="2" max="2" width="29.26953125" style="1" customWidth="1"/>
    <col min="3" max="3" width="7.7265625" style="161" bestFit="1" customWidth="1"/>
    <col min="4" max="4" width="8.453125" style="159" bestFit="1" customWidth="1"/>
    <col min="5" max="5" width="10" style="161" customWidth="1"/>
    <col min="6" max="6" width="10.81640625" style="161" bestFit="1" customWidth="1"/>
    <col min="7" max="7" width="11.26953125" style="3" bestFit="1" customWidth="1"/>
  </cols>
  <sheetData>
    <row r="1" spans="1:11" ht="54" customHeight="1" x14ac:dyDescent="0.35">
      <c r="A1" s="331" t="s">
        <v>4</v>
      </c>
      <c r="B1" s="331"/>
      <c r="C1" s="331"/>
      <c r="D1" s="331"/>
      <c r="E1" s="331"/>
      <c r="F1" s="331"/>
      <c r="G1" s="331"/>
    </row>
    <row r="2" spans="1:11" ht="14.15" customHeight="1" x14ac:dyDescent="0.35">
      <c r="A2" s="334" t="s">
        <v>10</v>
      </c>
      <c r="B2" s="334"/>
      <c r="C2" s="334"/>
      <c r="D2" s="334"/>
      <c r="E2" s="334"/>
      <c r="F2" s="334"/>
      <c r="G2" s="334"/>
    </row>
    <row r="3" spans="1:11" ht="14.4" customHeight="1" x14ac:dyDescent="0.35">
      <c r="A3" s="334" t="s">
        <v>12</v>
      </c>
      <c r="B3" s="334"/>
      <c r="C3" s="334"/>
      <c r="D3" s="334"/>
      <c r="E3" s="334"/>
      <c r="F3" s="334"/>
      <c r="G3" s="334"/>
    </row>
    <row r="4" spans="1:11" ht="14.4" customHeight="1" x14ac:dyDescent="0.35">
      <c r="A4" s="332" t="s">
        <v>13</v>
      </c>
      <c r="B4" s="332"/>
      <c r="C4" s="332"/>
      <c r="D4" s="332"/>
      <c r="E4" s="333" t="s">
        <v>17</v>
      </c>
      <c r="F4" s="333"/>
      <c r="G4" s="333"/>
    </row>
    <row r="5" spans="1:11" ht="27.65" customHeight="1" x14ac:dyDescent="0.35">
      <c r="A5" s="327" t="s">
        <v>18</v>
      </c>
      <c r="B5" s="328"/>
      <c r="C5" s="328"/>
      <c r="D5" s="328"/>
      <c r="E5" s="328"/>
      <c r="F5" s="329"/>
      <c r="G5" s="330"/>
    </row>
    <row r="6" spans="1:11" s="2" customFormat="1" ht="23.4" customHeight="1" x14ac:dyDescent="0.35">
      <c r="A6" s="10" t="s">
        <v>0</v>
      </c>
      <c r="B6" s="10" t="s">
        <v>3</v>
      </c>
      <c r="C6" s="10" t="s">
        <v>5</v>
      </c>
      <c r="D6" s="11" t="s">
        <v>6</v>
      </c>
      <c r="E6" s="12" t="s">
        <v>7</v>
      </c>
      <c r="F6" s="74"/>
      <c r="G6" s="358"/>
    </row>
    <row r="7" spans="1:11" s="2" customFormat="1" ht="37" customHeight="1" x14ac:dyDescent="0.35">
      <c r="A7" s="7">
        <v>1</v>
      </c>
      <c r="B7" s="19" t="s">
        <v>19</v>
      </c>
      <c r="C7" s="16" t="s">
        <v>158</v>
      </c>
      <c r="D7" s="15">
        <v>781</v>
      </c>
      <c r="E7" s="13">
        <f>'trazado,locali y replanteo'!F52</f>
        <v>22494.249724215446</v>
      </c>
      <c r="F7" s="13">
        <f>D7*E7</f>
        <v>17568009.034612264</v>
      </c>
      <c r="G7" s="359"/>
      <c r="K7" s="76"/>
    </row>
    <row r="8" spans="1:11" s="2" customFormat="1" ht="36" customHeight="1" x14ac:dyDescent="0.35">
      <c r="A8" s="7">
        <v>2</v>
      </c>
      <c r="B8" s="19" t="s">
        <v>20</v>
      </c>
      <c r="C8" s="16" t="s">
        <v>159</v>
      </c>
      <c r="D8" s="15">
        <v>510</v>
      </c>
      <c r="E8" s="18">
        <f>'cerramiento '!F48</f>
        <v>114873.03059989828</v>
      </c>
      <c r="F8" s="75">
        <f>D8*E8</f>
        <v>58585245.60594812</v>
      </c>
      <c r="G8" s="359"/>
    </row>
    <row r="9" spans="1:11" s="2" customFormat="1" ht="26.15" customHeight="1" x14ac:dyDescent="0.35">
      <c r="A9" s="7">
        <v>3</v>
      </c>
      <c r="B9" s="19" t="s">
        <v>21</v>
      </c>
      <c r="C9" s="16" t="s">
        <v>11</v>
      </c>
      <c r="D9" s="15">
        <v>9</v>
      </c>
      <c r="E9" s="18">
        <f>campamento!F55</f>
        <v>11597685.607310073</v>
      </c>
      <c r="F9" s="13">
        <f t="shared" ref="F9:F69" si="0">D9*E9</f>
        <v>104379170.46579066</v>
      </c>
      <c r="G9" s="359"/>
    </row>
    <row r="10" spans="1:11" s="2" customFormat="1" ht="36.5" customHeight="1" x14ac:dyDescent="0.35">
      <c r="A10" s="7">
        <v>4</v>
      </c>
      <c r="B10" s="19" t="s">
        <v>22</v>
      </c>
      <c r="C10" s="16" t="s">
        <v>160</v>
      </c>
      <c r="D10" s="15">
        <v>295</v>
      </c>
      <c r="E10" s="18">
        <f>andamios!F40</f>
        <v>359050.67799330846</v>
      </c>
      <c r="F10" s="75">
        <f>D10*E10</f>
        <v>105919950.00802599</v>
      </c>
      <c r="G10" s="359"/>
    </row>
    <row r="11" spans="1:11" s="2" customFormat="1" ht="26.15" customHeight="1" x14ac:dyDescent="0.35">
      <c r="A11" s="7">
        <v>5</v>
      </c>
      <c r="B11" s="19" t="s">
        <v>23</v>
      </c>
      <c r="C11" s="16" t="s">
        <v>161</v>
      </c>
      <c r="D11" s="15">
        <v>10</v>
      </c>
      <c r="E11" s="18">
        <f>topografia!F52</f>
        <v>2840889.3610370001</v>
      </c>
      <c r="F11" s="13">
        <f t="shared" si="0"/>
        <v>28408893.610370003</v>
      </c>
      <c r="G11" s="359"/>
    </row>
    <row r="12" spans="1:11" s="2" customFormat="1" ht="26.15" customHeight="1" x14ac:dyDescent="0.35">
      <c r="A12" s="7">
        <v>6</v>
      </c>
      <c r="B12" s="19" t="s">
        <v>24</v>
      </c>
      <c r="C12" s="16" t="s">
        <v>162</v>
      </c>
      <c r="D12" s="15">
        <v>57</v>
      </c>
      <c r="E12" s="18">
        <f>acarreobotadero!F35</f>
        <v>140502.12710743156</v>
      </c>
      <c r="F12" s="75">
        <f t="shared" si="0"/>
        <v>8008621.2451235987</v>
      </c>
      <c r="G12" s="359"/>
    </row>
    <row r="13" spans="1:11" s="2" customFormat="1" ht="26.15" customHeight="1" x14ac:dyDescent="0.35">
      <c r="A13" s="7">
        <v>7</v>
      </c>
      <c r="B13" s="19" t="s">
        <v>25</v>
      </c>
      <c r="C13" s="16" t="s">
        <v>161</v>
      </c>
      <c r="D13" s="15">
        <v>62</v>
      </c>
      <c r="E13" s="18">
        <f>'movimiento tierra'!F41</f>
        <v>5171161.9716552254</v>
      </c>
      <c r="F13" s="75">
        <f t="shared" si="0"/>
        <v>320612042.24262398</v>
      </c>
      <c r="G13" s="359"/>
    </row>
    <row r="14" spans="1:11" s="2" customFormat="1" ht="26.15" customHeight="1" x14ac:dyDescent="0.35">
      <c r="A14" s="7">
        <v>8</v>
      </c>
      <c r="B14" s="19" t="s">
        <v>26</v>
      </c>
      <c r="C14" s="16" t="s">
        <v>163</v>
      </c>
      <c r="D14" s="15">
        <v>657</v>
      </c>
      <c r="E14" s="18">
        <f>' excavacion -1,20mts'!F53</f>
        <v>773963.87020016229</v>
      </c>
      <c r="F14" s="75">
        <f t="shared" si="0"/>
        <v>508494262.7215066</v>
      </c>
      <c r="G14" s="359"/>
    </row>
    <row r="15" spans="1:11" s="2" customFormat="1" ht="26.15" customHeight="1" x14ac:dyDescent="0.35">
      <c r="A15" s="7">
        <v>9</v>
      </c>
      <c r="B15" s="19" t="s">
        <v>27</v>
      </c>
      <c r="C15" s="16" t="s">
        <v>163</v>
      </c>
      <c r="D15" s="15">
        <v>525</v>
      </c>
      <c r="E15" s="18">
        <f>'excavación +1,20mts'!F57</f>
        <v>1096775.7026631872</v>
      </c>
      <c r="F15" s="13">
        <f t="shared" si="0"/>
        <v>575807243.89817321</v>
      </c>
      <c r="G15" s="359"/>
    </row>
    <row r="16" spans="1:11" s="2" customFormat="1" ht="40" customHeight="1" x14ac:dyDescent="0.35">
      <c r="A16" s="7">
        <v>10</v>
      </c>
      <c r="B16" s="19" t="s">
        <v>28</v>
      </c>
      <c r="C16" s="16" t="s">
        <v>163</v>
      </c>
      <c r="D16" s="15">
        <v>29</v>
      </c>
      <c r="E16" s="18">
        <f>'excavación sin presencia'!F46</f>
        <v>231821.09102856551</v>
      </c>
      <c r="F16" s="75">
        <f t="shared" si="0"/>
        <v>6722811.6398283998</v>
      </c>
      <c r="G16" s="359"/>
    </row>
    <row r="17" spans="1:7" s="2" customFormat="1" ht="38" customHeight="1" x14ac:dyDescent="0.35">
      <c r="A17" s="7">
        <v>11</v>
      </c>
      <c r="B17" s="19" t="s">
        <v>29</v>
      </c>
      <c r="C17" s="16" t="s">
        <v>163</v>
      </c>
      <c r="D17" s="15">
        <v>820</v>
      </c>
      <c r="E17" s="18">
        <f>'excavación con presencia '!F41</f>
        <v>153733.04041438209</v>
      </c>
      <c r="F17" s="13">
        <f t="shared" si="0"/>
        <v>126061093.13979332</v>
      </c>
      <c r="G17" s="359"/>
    </row>
    <row r="18" spans="1:7" s="2" customFormat="1" ht="34.5" customHeight="1" x14ac:dyDescent="0.35">
      <c r="A18" s="7">
        <v>12</v>
      </c>
      <c r="B18" s="19" t="s">
        <v>30</v>
      </c>
      <c r="C18" s="16" t="s">
        <v>163</v>
      </c>
      <c r="D18" s="15">
        <v>52</v>
      </c>
      <c r="E18" s="18">
        <f>'demolición concreto'!F56</f>
        <v>5978337.1092153834</v>
      </c>
      <c r="F18" s="75">
        <f t="shared" si="0"/>
        <v>310873529.67919993</v>
      </c>
      <c r="G18" s="359"/>
    </row>
    <row r="19" spans="1:7" s="2" customFormat="1" ht="37.5" customHeight="1" x14ac:dyDescent="0.35">
      <c r="A19" s="7">
        <v>13</v>
      </c>
      <c r="B19" s="19" t="s">
        <v>31</v>
      </c>
      <c r="C19" s="16" t="s">
        <v>163</v>
      </c>
      <c r="D19" s="15">
        <v>780</v>
      </c>
      <c r="E19" s="18">
        <f>'relleno manual '!F45</f>
        <v>293402.11796413671</v>
      </c>
      <c r="F19" s="13">
        <f t="shared" si="0"/>
        <v>228853652.01202664</v>
      </c>
      <c r="G19" s="359"/>
    </row>
    <row r="20" spans="1:7" s="2" customFormat="1" ht="33.5" customHeight="1" x14ac:dyDescent="0.35">
      <c r="A20" s="7">
        <v>14</v>
      </c>
      <c r="B20" s="19" t="s">
        <v>32</v>
      </c>
      <c r="C20" s="16" t="s">
        <v>163</v>
      </c>
      <c r="D20" s="15">
        <v>269</v>
      </c>
      <c r="E20" s="18">
        <f>'relleno mecanico'!F74</f>
        <v>140904.95566394049</v>
      </c>
      <c r="F20" s="75">
        <f t="shared" si="0"/>
        <v>37903433.073599994</v>
      </c>
      <c r="G20" s="359"/>
    </row>
    <row r="21" spans="1:7" s="2" customFormat="1" ht="26.15" customHeight="1" x14ac:dyDescent="0.35">
      <c r="A21" s="7">
        <v>15</v>
      </c>
      <c r="B21" s="19" t="s">
        <v>33</v>
      </c>
      <c r="C21" s="16" t="s">
        <v>163</v>
      </c>
      <c r="D21" s="15">
        <v>728</v>
      </c>
      <c r="E21" s="18">
        <f>'relleno con material'!F80</f>
        <v>233495.17934351004</v>
      </c>
      <c r="F21" s="13">
        <f t="shared" si="0"/>
        <v>169984490.56207532</v>
      </c>
      <c r="G21" s="359"/>
    </row>
    <row r="22" spans="1:7" s="2" customFormat="1" ht="26.15" customHeight="1" x14ac:dyDescent="0.35">
      <c r="A22" s="7">
        <v>16</v>
      </c>
      <c r="B22" s="19" t="s">
        <v>34</v>
      </c>
      <c r="C22" s="16" t="s">
        <v>163</v>
      </c>
      <c r="D22" s="15">
        <v>89</v>
      </c>
      <c r="E22" s="18">
        <f>'suministro y colocación '!F90</f>
        <v>421861.70433895121</v>
      </c>
      <c r="F22" s="75">
        <f t="shared" si="0"/>
        <v>37545691.686166659</v>
      </c>
      <c r="G22" s="359"/>
    </row>
    <row r="23" spans="1:7" s="2" customFormat="1" ht="26.15" customHeight="1" x14ac:dyDescent="0.35">
      <c r="A23" s="7">
        <v>17</v>
      </c>
      <c r="B23" s="19" t="s">
        <v>35</v>
      </c>
      <c r="C23" s="16" t="s">
        <v>163</v>
      </c>
      <c r="D23" s="15">
        <v>32</v>
      </c>
      <c r="E23" s="18">
        <f>'suministro e instalación '!F57</f>
        <v>6258307.5157872913</v>
      </c>
      <c r="F23" s="13">
        <f t="shared" si="0"/>
        <v>200265840.50519332</v>
      </c>
      <c r="G23" s="359"/>
    </row>
    <row r="24" spans="1:7" s="2" customFormat="1" ht="28.5" customHeight="1" x14ac:dyDescent="0.35">
      <c r="A24" s="7">
        <v>18</v>
      </c>
      <c r="B24" s="19" t="s">
        <v>36</v>
      </c>
      <c r="C24" s="16" t="s">
        <v>163</v>
      </c>
      <c r="D24" s="15">
        <v>21</v>
      </c>
      <c r="E24" s="18">
        <f>'suministro e inst. en gravilla '!F64</f>
        <v>814978.59523730155</v>
      </c>
      <c r="F24" s="75">
        <f t="shared" si="0"/>
        <v>17114550.499983333</v>
      </c>
      <c r="G24" s="359"/>
    </row>
    <row r="25" spans="1:7" s="2" customFormat="1" ht="34.5" customHeight="1" x14ac:dyDescent="0.35">
      <c r="A25" s="7">
        <v>19</v>
      </c>
      <c r="B25" s="19" t="s">
        <v>37</v>
      </c>
      <c r="C25" s="16" t="s">
        <v>158</v>
      </c>
      <c r="D25" s="15">
        <v>6</v>
      </c>
      <c r="E25" s="18">
        <f>'suministro e inst. de adoquin '!F67</f>
        <v>3142869.315015866</v>
      </c>
      <c r="F25" s="13">
        <f t="shared" si="0"/>
        <v>18857215.890095197</v>
      </c>
      <c r="G25" s="359"/>
    </row>
    <row r="26" spans="1:7" s="2" customFormat="1" ht="33.5" customHeight="1" x14ac:dyDescent="0.35">
      <c r="A26" s="7">
        <v>20</v>
      </c>
      <c r="B26" s="19" t="s">
        <v>38</v>
      </c>
      <c r="C26" s="16" t="s">
        <v>158</v>
      </c>
      <c r="D26" s="15">
        <v>6</v>
      </c>
      <c r="E26" s="18">
        <f>'suministro e inst. ladrillo '!F105</f>
        <v>1102318.1351179555</v>
      </c>
      <c r="F26" s="75">
        <f t="shared" si="0"/>
        <v>6613908.810707733</v>
      </c>
      <c r="G26" s="359"/>
    </row>
    <row r="27" spans="1:7" s="2" customFormat="1" ht="26.15" customHeight="1" x14ac:dyDescent="0.35">
      <c r="A27" s="7">
        <v>21</v>
      </c>
      <c r="B27" s="19" t="s">
        <v>39</v>
      </c>
      <c r="C27" s="16" t="s">
        <v>158</v>
      </c>
      <c r="D27" s="15">
        <v>306</v>
      </c>
      <c r="E27" s="18">
        <f>'revegetalización '!F56</f>
        <v>219024.01199439738</v>
      </c>
      <c r="F27" s="13">
        <f t="shared" si="0"/>
        <v>67021347.670285597</v>
      </c>
      <c r="G27" s="359"/>
    </row>
    <row r="28" spans="1:7" s="2" customFormat="1" ht="26.15" customHeight="1" x14ac:dyDescent="0.35">
      <c r="A28" s="7">
        <v>22</v>
      </c>
      <c r="B28" s="19" t="s">
        <v>40</v>
      </c>
      <c r="C28" s="47" t="s">
        <v>158</v>
      </c>
      <c r="D28" s="70">
        <v>10</v>
      </c>
      <c r="E28" s="18">
        <f>'escarifitación '!F105</f>
        <v>2188010.9313966664</v>
      </c>
      <c r="F28" s="75">
        <f t="shared" si="0"/>
        <v>21880109.313966665</v>
      </c>
      <c r="G28" s="359"/>
    </row>
    <row r="29" spans="1:7" s="2" customFormat="1" ht="26.15" customHeight="1" x14ac:dyDescent="0.35">
      <c r="A29" s="7">
        <v>23</v>
      </c>
      <c r="B29" s="19" t="s">
        <v>41</v>
      </c>
      <c r="C29" s="47" t="s">
        <v>164</v>
      </c>
      <c r="D29" s="70">
        <v>3</v>
      </c>
      <c r="E29" s="18">
        <f>'construción alcantarilla '!F79</f>
        <v>75004144.499166667</v>
      </c>
      <c r="F29" s="75">
        <f t="shared" si="0"/>
        <v>225012433.4975</v>
      </c>
      <c r="G29" s="359"/>
    </row>
    <row r="30" spans="1:7" s="2" customFormat="1" ht="26.15" customHeight="1" x14ac:dyDescent="0.35">
      <c r="A30" s="7">
        <v>24</v>
      </c>
      <c r="B30" s="19" t="s">
        <v>42</v>
      </c>
      <c r="C30" s="47" t="s">
        <v>158</v>
      </c>
      <c r="D30" s="70">
        <v>12</v>
      </c>
      <c r="E30" s="18">
        <f>'canal en piedra '!F53</f>
        <v>1750089.4449177664</v>
      </c>
      <c r="F30" s="75">
        <f t="shared" si="0"/>
        <v>21001073.339013197</v>
      </c>
      <c r="G30" s="359"/>
    </row>
    <row r="31" spans="1:7" s="2" customFormat="1" ht="26.15" customHeight="1" x14ac:dyDescent="0.35">
      <c r="A31" s="7">
        <v>25</v>
      </c>
      <c r="B31" s="19" t="s">
        <v>43</v>
      </c>
      <c r="C31" s="47" t="s">
        <v>158</v>
      </c>
      <c r="D31" s="70">
        <v>6</v>
      </c>
      <c r="E31" s="18">
        <f>'suministro e inst. de geodrén '!F60</f>
        <v>1585196.6338654419</v>
      </c>
      <c r="F31" s="75">
        <f t="shared" si="0"/>
        <v>9511179.8031926509</v>
      </c>
      <c r="G31" s="359"/>
    </row>
    <row r="32" spans="1:7" s="2" customFormat="1" ht="26.15" customHeight="1" x14ac:dyDescent="0.35">
      <c r="A32" s="7">
        <v>26</v>
      </c>
      <c r="B32" s="19" t="s">
        <v>44</v>
      </c>
      <c r="C32" s="47" t="s">
        <v>158</v>
      </c>
      <c r="D32" s="70">
        <v>18</v>
      </c>
      <c r="E32" s="18">
        <f>'colocación de geotextil '!F45</f>
        <v>85905.859751274053</v>
      </c>
      <c r="F32" s="75">
        <f t="shared" si="0"/>
        <v>1546305.4755229331</v>
      </c>
      <c r="G32" s="359"/>
    </row>
    <row r="33" spans="1:7" s="2" customFormat="1" ht="26.15" customHeight="1" x14ac:dyDescent="0.35">
      <c r="A33" s="7">
        <v>27</v>
      </c>
      <c r="B33" s="19" t="s">
        <v>45</v>
      </c>
      <c r="C33" s="47" t="s">
        <v>158</v>
      </c>
      <c r="D33" s="70">
        <v>8</v>
      </c>
      <c r="E33" s="18">
        <f>'colocación de geomembrana '!F39</f>
        <v>223079.18891034165</v>
      </c>
      <c r="F33" s="75">
        <f t="shared" si="0"/>
        <v>1784633.5112827332</v>
      </c>
      <c r="G33" s="359"/>
    </row>
    <row r="34" spans="1:7" s="2" customFormat="1" ht="26.15" customHeight="1" x14ac:dyDescent="0.35">
      <c r="A34" s="7">
        <v>28</v>
      </c>
      <c r="B34" s="19" t="s">
        <v>46</v>
      </c>
      <c r="C34" s="47" t="s">
        <v>158</v>
      </c>
      <c r="D34" s="70">
        <v>330</v>
      </c>
      <c r="E34" s="18">
        <f>'entibado en zanja '!F49</f>
        <v>619712.95078333328</v>
      </c>
      <c r="F34" s="75">
        <f t="shared" si="0"/>
        <v>204505273.75849998</v>
      </c>
      <c r="G34" s="359"/>
    </row>
    <row r="35" spans="1:7" s="2" customFormat="1" ht="26.15" customHeight="1" x14ac:dyDescent="0.35">
      <c r="A35" s="7">
        <v>29</v>
      </c>
      <c r="B35" s="19" t="s">
        <v>47</v>
      </c>
      <c r="C35" s="47" t="s">
        <v>163</v>
      </c>
      <c r="D35" s="70">
        <v>7</v>
      </c>
      <c r="E35" s="18">
        <f>'construción de gaviones'!F51</f>
        <v>3234174.3111431142</v>
      </c>
      <c r="F35" s="75">
        <f t="shared" si="0"/>
        <v>22639220.178001799</v>
      </c>
      <c r="G35" s="359"/>
    </row>
    <row r="36" spans="1:7" s="2" customFormat="1" ht="26.15" customHeight="1" x14ac:dyDescent="0.35">
      <c r="A36" s="7">
        <v>30</v>
      </c>
      <c r="B36" s="19" t="s">
        <v>48</v>
      </c>
      <c r="C36" s="47" t="s">
        <v>163</v>
      </c>
      <c r="D36" s="70">
        <v>9</v>
      </c>
      <c r="E36" s="18">
        <f>'gaviones en sacos '!F63</f>
        <v>2292632.9750777772</v>
      </c>
      <c r="F36" s="75">
        <f t="shared" si="0"/>
        <v>20633696.775699995</v>
      </c>
      <c r="G36" s="359"/>
    </row>
    <row r="37" spans="1:7" s="2" customFormat="1" ht="26.15" customHeight="1" x14ac:dyDescent="0.35">
      <c r="A37" s="7">
        <v>31</v>
      </c>
      <c r="B37" s="19" t="s">
        <v>49</v>
      </c>
      <c r="C37" s="47" t="s">
        <v>163</v>
      </c>
      <c r="D37" s="70">
        <v>12</v>
      </c>
      <c r="E37" s="18">
        <f>'demolición de gaviones'!F60</f>
        <v>729011.36338444427</v>
      </c>
      <c r="F37" s="75">
        <f t="shared" si="0"/>
        <v>8748136.3606133312</v>
      </c>
      <c r="G37" s="359"/>
    </row>
    <row r="38" spans="1:7" s="2" customFormat="1" ht="26.15" customHeight="1" x14ac:dyDescent="0.35">
      <c r="A38" s="7">
        <v>32</v>
      </c>
      <c r="B38" s="19" t="s">
        <v>50</v>
      </c>
      <c r="C38" s="47" t="s">
        <v>163</v>
      </c>
      <c r="D38" s="70">
        <v>6</v>
      </c>
      <c r="E38" s="18">
        <f>'construcción de diques'!F62</f>
        <v>2228838.5804926665</v>
      </c>
      <c r="F38" s="75">
        <f t="shared" si="0"/>
        <v>13373031.482956</v>
      </c>
      <c r="G38" s="359"/>
    </row>
    <row r="39" spans="1:7" s="2" customFormat="1" ht="26.15" customHeight="1" x14ac:dyDescent="0.35">
      <c r="A39" s="7">
        <v>33</v>
      </c>
      <c r="B39" s="19" t="s">
        <v>51</v>
      </c>
      <c r="C39" s="47" t="s">
        <v>159</v>
      </c>
      <c r="D39" s="70">
        <v>4</v>
      </c>
      <c r="E39" s="18">
        <f>'trinchos en madera'!F63</f>
        <v>1066107.0072732498</v>
      </c>
      <c r="F39" s="75">
        <f t="shared" si="0"/>
        <v>4264428.0290929992</v>
      </c>
      <c r="G39" s="359"/>
    </row>
    <row r="40" spans="1:7" s="2" customFormat="1" ht="26.15" customHeight="1" x14ac:dyDescent="0.35">
      <c r="A40" s="7">
        <v>34</v>
      </c>
      <c r="B40" s="19" t="s">
        <v>52</v>
      </c>
      <c r="C40" s="47" t="s">
        <v>165</v>
      </c>
      <c r="D40" s="70">
        <v>437.99999999999994</v>
      </c>
      <c r="E40" s="18">
        <f>'drenajes e aguas '!F63</f>
        <v>84704.692110677628</v>
      </c>
      <c r="F40" s="75">
        <f t="shared" si="0"/>
        <v>37100655.144476794</v>
      </c>
      <c r="G40" s="359"/>
    </row>
    <row r="41" spans="1:7" s="2" customFormat="1" ht="26.15" customHeight="1" x14ac:dyDescent="0.35">
      <c r="A41" s="7">
        <v>35</v>
      </c>
      <c r="B41" s="19" t="s">
        <v>53</v>
      </c>
      <c r="C41" s="47" t="s">
        <v>159</v>
      </c>
      <c r="D41" s="70">
        <v>122</v>
      </c>
      <c r="E41" s="18">
        <f>'instalación de tubería '!F63</f>
        <v>218983.3912519743</v>
      </c>
      <c r="F41" s="75">
        <f t="shared" si="0"/>
        <v>26715973.732740864</v>
      </c>
      <c r="G41" s="359"/>
    </row>
    <row r="42" spans="1:7" s="2" customFormat="1" ht="26.15" customHeight="1" x14ac:dyDescent="0.35">
      <c r="A42" s="7">
        <v>36</v>
      </c>
      <c r="B42" s="19" t="s">
        <v>54</v>
      </c>
      <c r="C42" s="47" t="s">
        <v>163</v>
      </c>
      <c r="D42" s="70">
        <v>77</v>
      </c>
      <c r="E42" s="18">
        <f>'concreto simple'!F65</f>
        <v>2313377.47409342</v>
      </c>
      <c r="F42" s="75">
        <f t="shared" si="0"/>
        <v>178130065.50519332</v>
      </c>
      <c r="G42" s="359"/>
    </row>
    <row r="43" spans="1:7" s="2" customFormat="1" ht="30" customHeight="1" x14ac:dyDescent="0.35">
      <c r="A43" s="7">
        <v>37</v>
      </c>
      <c r="B43" s="19" t="s">
        <v>55</v>
      </c>
      <c r="C43" s="47" t="s">
        <v>163</v>
      </c>
      <c r="D43" s="70">
        <v>58</v>
      </c>
      <c r="E43" s="18">
        <f>'concreto en espacios confinado '!F75</f>
        <v>3903629.5742979539</v>
      </c>
      <c r="F43" s="75">
        <f t="shared" si="0"/>
        <v>226410515.30928132</v>
      </c>
      <c r="G43" s="359"/>
    </row>
    <row r="44" spans="1:7" s="2" customFormat="1" ht="26.15" customHeight="1" x14ac:dyDescent="0.35">
      <c r="A44" s="7">
        <v>38</v>
      </c>
      <c r="B44" s="19" t="s">
        <v>56</v>
      </c>
      <c r="C44" s="47" t="s">
        <v>163</v>
      </c>
      <c r="D44" s="70">
        <v>14</v>
      </c>
      <c r="E44" s="18">
        <f>'concreto ciclópeo'!F63</f>
        <v>1548886.6105392475</v>
      </c>
      <c r="F44" s="75">
        <f t="shared" si="0"/>
        <v>21684412.547549464</v>
      </c>
      <c r="G44" s="359"/>
    </row>
    <row r="45" spans="1:7" s="2" customFormat="1" ht="26.15" customHeight="1" x14ac:dyDescent="0.35">
      <c r="A45" s="7">
        <v>39</v>
      </c>
      <c r="B45" s="19" t="s">
        <v>57</v>
      </c>
      <c r="C45" s="47" t="s">
        <v>166</v>
      </c>
      <c r="D45" s="70">
        <v>356</v>
      </c>
      <c r="E45" s="18">
        <f>'acero de refuerzo'!F44</f>
        <v>26482.325120574715</v>
      </c>
      <c r="F45" s="75">
        <f t="shared" si="0"/>
        <v>9427707.742924599</v>
      </c>
      <c r="G45" s="359"/>
    </row>
    <row r="46" spans="1:7" s="2" customFormat="1" ht="26.15" customHeight="1" x14ac:dyDescent="0.35">
      <c r="A46" s="7">
        <v>40</v>
      </c>
      <c r="B46" s="19" t="s">
        <v>58</v>
      </c>
      <c r="C46" s="47" t="s">
        <v>166</v>
      </c>
      <c r="D46" s="70">
        <v>16</v>
      </c>
      <c r="E46" s="18">
        <f>'acero en espacio confinado '!F48</f>
        <v>111337.99053424997</v>
      </c>
      <c r="F46" s="75">
        <f t="shared" si="0"/>
        <v>1781407.8485479995</v>
      </c>
      <c r="G46" s="359"/>
    </row>
    <row r="47" spans="1:7" s="2" customFormat="1" ht="26.15" customHeight="1" x14ac:dyDescent="0.35">
      <c r="A47" s="7">
        <v>41</v>
      </c>
      <c r="B47" s="19" t="s">
        <v>59</v>
      </c>
      <c r="C47" s="47" t="s">
        <v>158</v>
      </c>
      <c r="D47" s="70">
        <v>125</v>
      </c>
      <c r="E47" s="18">
        <f>'mampostería en ladrillo '!F63</f>
        <v>743333.80094087566</v>
      </c>
      <c r="F47" s="75">
        <f t="shared" si="0"/>
        <v>92916725.117609456</v>
      </c>
      <c r="G47" s="359"/>
    </row>
    <row r="48" spans="1:7" s="2" customFormat="1" ht="26.15" customHeight="1" x14ac:dyDescent="0.35">
      <c r="A48" s="7">
        <v>42</v>
      </c>
      <c r="B48" s="19" t="s">
        <v>60</v>
      </c>
      <c r="C48" s="47" t="s">
        <v>163</v>
      </c>
      <c r="D48" s="70">
        <v>10</v>
      </c>
      <c r="E48" s="18">
        <f>' mortero '!F63</f>
        <v>1584191.7766539999</v>
      </c>
      <c r="F48" s="75">
        <f t="shared" si="0"/>
        <v>15841917.766539998</v>
      </c>
      <c r="G48" s="359"/>
    </row>
    <row r="49" spans="1:7" s="2" customFormat="1" ht="26.15" customHeight="1" x14ac:dyDescent="0.35">
      <c r="A49" s="7">
        <v>43</v>
      </c>
      <c r="B49" s="19" t="s">
        <v>61</v>
      </c>
      <c r="C49" s="47" t="s">
        <v>163</v>
      </c>
      <c r="D49" s="70">
        <v>3</v>
      </c>
      <c r="E49" s="18">
        <f>'mortero impermeabilizado '!F63</f>
        <v>2410307.2816922665</v>
      </c>
      <c r="F49" s="75">
        <f t="shared" si="0"/>
        <v>7230921.8450767994</v>
      </c>
      <c r="G49" s="359"/>
    </row>
    <row r="50" spans="1:7" s="2" customFormat="1" ht="33.5" customHeight="1" x14ac:dyDescent="0.35">
      <c r="A50" s="7">
        <v>44</v>
      </c>
      <c r="B50" s="19" t="s">
        <v>62</v>
      </c>
      <c r="C50" s="47" t="s">
        <v>163</v>
      </c>
      <c r="D50" s="70">
        <v>56</v>
      </c>
      <c r="E50" s="18">
        <f>'inst. y suministro de concreto'!F64</f>
        <v>2187201.0140696424</v>
      </c>
      <c r="F50" s="75">
        <f t="shared" si="0"/>
        <v>122483256.78789997</v>
      </c>
      <c r="G50" s="359"/>
    </row>
    <row r="51" spans="1:7" s="2" customFormat="1" ht="42" customHeight="1" x14ac:dyDescent="0.35">
      <c r="A51" s="7">
        <v>45</v>
      </c>
      <c r="B51" s="19" t="s">
        <v>63</v>
      </c>
      <c r="C51" s="47" t="s">
        <v>159</v>
      </c>
      <c r="D51" s="70">
        <v>211</v>
      </c>
      <c r="E51" s="18">
        <f>'juntas de dilatación &lt; 1cm'!F51</f>
        <v>82280.742218960499</v>
      </c>
      <c r="F51" s="75">
        <f t="shared" si="0"/>
        <v>17361236.608200666</v>
      </c>
      <c r="G51" s="359"/>
    </row>
    <row r="52" spans="1:7" s="2" customFormat="1" ht="40.5" customHeight="1" x14ac:dyDescent="0.35">
      <c r="A52" s="7">
        <v>46</v>
      </c>
      <c r="B52" s="19" t="s">
        <v>64</v>
      </c>
      <c r="C52" s="47" t="s">
        <v>159</v>
      </c>
      <c r="D52" s="70">
        <v>7</v>
      </c>
      <c r="E52" s="18">
        <f>'juntas de dilatación &gt;1cm'!F63</f>
        <v>171010.7997432095</v>
      </c>
      <c r="F52" s="75">
        <f t="shared" si="0"/>
        <v>1197075.5982024665</v>
      </c>
      <c r="G52" s="359"/>
    </row>
    <row r="53" spans="1:7" s="2" customFormat="1" ht="26.15" customHeight="1" x14ac:dyDescent="0.35">
      <c r="A53" s="7">
        <v>47</v>
      </c>
      <c r="B53" s="19" t="s">
        <v>65</v>
      </c>
      <c r="C53" s="47" t="s">
        <v>159</v>
      </c>
      <c r="D53" s="70">
        <v>7</v>
      </c>
      <c r="E53" s="18">
        <v>128750</v>
      </c>
      <c r="F53" s="75">
        <f t="shared" si="0"/>
        <v>901250</v>
      </c>
      <c r="G53" s="359"/>
    </row>
    <row r="54" spans="1:7" s="2" customFormat="1" ht="39.5" customHeight="1" x14ac:dyDescent="0.35">
      <c r="A54" s="7">
        <v>48</v>
      </c>
      <c r="B54" s="19" t="s">
        <v>66</v>
      </c>
      <c r="C54" s="47" t="s">
        <v>159</v>
      </c>
      <c r="D54" s="70">
        <v>208</v>
      </c>
      <c r="E54" s="18">
        <v>114013</v>
      </c>
      <c r="F54" s="75">
        <f t="shared" si="0"/>
        <v>23714704</v>
      </c>
      <c r="G54" s="359"/>
    </row>
    <row r="55" spans="1:7" s="2" customFormat="1" ht="39" customHeight="1" x14ac:dyDescent="0.35">
      <c r="A55" s="7">
        <v>49</v>
      </c>
      <c r="B55" s="19" t="s">
        <v>67</v>
      </c>
      <c r="C55" s="47" t="s">
        <v>163</v>
      </c>
      <c r="D55" s="70">
        <v>9</v>
      </c>
      <c r="E55" s="18">
        <v>875500</v>
      </c>
      <c r="F55" s="75">
        <f t="shared" si="0"/>
        <v>7879500</v>
      </c>
      <c r="G55" s="359"/>
    </row>
    <row r="56" spans="1:7" s="2" customFormat="1" ht="53.5" customHeight="1" x14ac:dyDescent="0.35">
      <c r="A56" s="7">
        <v>50</v>
      </c>
      <c r="B56" s="19" t="s">
        <v>68</v>
      </c>
      <c r="C56" s="47" t="s">
        <v>158</v>
      </c>
      <c r="D56" s="70">
        <v>305</v>
      </c>
      <c r="E56" s="18">
        <v>669500</v>
      </c>
      <c r="F56" s="75">
        <f t="shared" si="0"/>
        <v>204197500</v>
      </c>
      <c r="G56" s="359"/>
    </row>
    <row r="57" spans="1:7" s="2" customFormat="1" ht="45" customHeight="1" x14ac:dyDescent="0.35">
      <c r="A57" s="7">
        <v>51</v>
      </c>
      <c r="B57" s="19" t="s">
        <v>69</v>
      </c>
      <c r="C57" s="47" t="s">
        <v>158</v>
      </c>
      <c r="D57" s="70">
        <v>333.98117204319084</v>
      </c>
      <c r="E57" s="18">
        <v>597704</v>
      </c>
      <c r="F57" s="75">
        <f t="shared" si="0"/>
        <v>199621882.45490333</v>
      </c>
      <c r="G57" s="359"/>
    </row>
    <row r="58" spans="1:7" s="2" customFormat="1" ht="42" customHeight="1" x14ac:dyDescent="0.35">
      <c r="A58" s="7">
        <v>52</v>
      </c>
      <c r="B58" s="19" t="s">
        <v>70</v>
      </c>
      <c r="C58" s="47" t="s">
        <v>159</v>
      </c>
      <c r="D58" s="70">
        <v>66.151103515187629</v>
      </c>
      <c r="E58" s="18">
        <v>391760</v>
      </c>
      <c r="F58" s="75">
        <f t="shared" si="0"/>
        <v>25915356.313109905</v>
      </c>
      <c r="G58" s="359"/>
    </row>
    <row r="59" spans="1:7" s="2" customFormat="1" ht="48.5" customHeight="1" x14ac:dyDescent="0.35">
      <c r="A59" s="7">
        <v>53</v>
      </c>
      <c r="B59" s="19" t="s">
        <v>71</v>
      </c>
      <c r="C59" s="47" t="s">
        <v>159</v>
      </c>
      <c r="D59" s="70">
        <v>65</v>
      </c>
      <c r="E59" s="18">
        <v>97850</v>
      </c>
      <c r="F59" s="75">
        <f t="shared" si="0"/>
        <v>6360250</v>
      </c>
      <c r="G59" s="359"/>
    </row>
    <row r="60" spans="1:7" s="2" customFormat="1" ht="41" customHeight="1" x14ac:dyDescent="0.35">
      <c r="A60" s="7">
        <v>54</v>
      </c>
      <c r="B60" s="19" t="s">
        <v>72</v>
      </c>
      <c r="C60" s="47" t="s">
        <v>159</v>
      </c>
      <c r="D60" s="70">
        <v>62</v>
      </c>
      <c r="E60" s="18">
        <v>142604</v>
      </c>
      <c r="F60" s="75">
        <f t="shared" si="0"/>
        <v>8841448</v>
      </c>
      <c r="G60" s="359"/>
    </row>
    <row r="61" spans="1:7" s="2" customFormat="1" ht="26.15" customHeight="1" x14ac:dyDescent="0.35">
      <c r="A61" s="7">
        <v>55</v>
      </c>
      <c r="B61" s="19" t="s">
        <v>73</v>
      </c>
      <c r="C61" s="47" t="s">
        <v>161</v>
      </c>
      <c r="D61" s="70">
        <v>20</v>
      </c>
      <c r="E61" s="18">
        <v>2008500</v>
      </c>
      <c r="F61" s="75">
        <f t="shared" si="0"/>
        <v>40170000</v>
      </c>
      <c r="G61" s="359"/>
    </row>
    <row r="62" spans="1:7" s="2" customFormat="1" ht="26.15" customHeight="1" x14ac:dyDescent="0.35">
      <c r="A62" s="7">
        <v>56</v>
      </c>
      <c r="B62" s="19" t="s">
        <v>74</v>
      </c>
      <c r="C62" s="47" t="s">
        <v>161</v>
      </c>
      <c r="D62" s="70">
        <v>25</v>
      </c>
      <c r="E62" s="18">
        <v>5974000</v>
      </c>
      <c r="F62" s="75">
        <f t="shared" si="0"/>
        <v>149350000</v>
      </c>
      <c r="G62" s="359"/>
    </row>
    <row r="63" spans="1:7" s="2" customFormat="1" ht="26.15" customHeight="1" x14ac:dyDescent="0.35">
      <c r="A63" s="7">
        <v>57</v>
      </c>
      <c r="B63" s="19" t="s">
        <v>75</v>
      </c>
      <c r="C63" s="47" t="s">
        <v>158</v>
      </c>
      <c r="D63" s="70">
        <v>9</v>
      </c>
      <c r="E63" s="18">
        <v>669500</v>
      </c>
      <c r="F63" s="75">
        <f t="shared" si="0"/>
        <v>6025500</v>
      </c>
      <c r="G63" s="359"/>
    </row>
    <row r="64" spans="1:7" s="2" customFormat="1" ht="26.15" customHeight="1" x14ac:dyDescent="0.35">
      <c r="A64" s="7">
        <v>58</v>
      </c>
      <c r="B64" s="19" t="s">
        <v>76</v>
      </c>
      <c r="C64" s="47" t="s">
        <v>158</v>
      </c>
      <c r="D64" s="70">
        <v>10</v>
      </c>
      <c r="E64" s="18">
        <v>128750</v>
      </c>
      <c r="F64" s="75">
        <f t="shared" si="0"/>
        <v>1287500</v>
      </c>
      <c r="G64" s="359"/>
    </row>
    <row r="65" spans="1:7" s="2" customFormat="1" ht="26.15" customHeight="1" x14ac:dyDescent="0.35">
      <c r="A65" s="7">
        <v>59</v>
      </c>
      <c r="B65" s="19" t="s">
        <v>77</v>
      </c>
      <c r="C65" s="47" t="s">
        <v>158</v>
      </c>
      <c r="D65" s="70">
        <v>365</v>
      </c>
      <c r="E65" s="18">
        <v>360500</v>
      </c>
      <c r="F65" s="75">
        <f t="shared" si="0"/>
        <v>131582500</v>
      </c>
      <c r="G65" s="359"/>
    </row>
    <row r="66" spans="1:7" s="2" customFormat="1" ht="26.15" customHeight="1" x14ac:dyDescent="0.35">
      <c r="A66" s="7">
        <v>60</v>
      </c>
      <c r="B66" s="19" t="s">
        <v>78</v>
      </c>
      <c r="C66" s="47" t="s">
        <v>158</v>
      </c>
      <c r="D66" s="70">
        <v>29</v>
      </c>
      <c r="E66" s="18">
        <v>654050</v>
      </c>
      <c r="F66" s="75">
        <f t="shared" si="0"/>
        <v>18967450</v>
      </c>
      <c r="G66" s="359"/>
    </row>
    <row r="67" spans="1:7" s="2" customFormat="1" ht="40" customHeight="1" x14ac:dyDescent="0.35">
      <c r="A67" s="7">
        <v>61</v>
      </c>
      <c r="B67" s="19" t="s">
        <v>79</v>
      </c>
      <c r="C67" s="47" t="s">
        <v>158</v>
      </c>
      <c r="D67" s="70">
        <v>183</v>
      </c>
      <c r="E67" s="18">
        <v>2832500</v>
      </c>
      <c r="F67" s="75">
        <f t="shared" si="0"/>
        <v>518347500</v>
      </c>
      <c r="G67" s="359"/>
    </row>
    <row r="68" spans="1:7" s="2" customFormat="1" ht="41" customHeight="1" x14ac:dyDescent="0.35">
      <c r="A68" s="7">
        <v>62</v>
      </c>
      <c r="B68" s="19" t="s">
        <v>80</v>
      </c>
      <c r="C68" s="47" t="s">
        <v>159</v>
      </c>
      <c r="D68" s="70">
        <v>320</v>
      </c>
      <c r="E68" s="18">
        <v>499550</v>
      </c>
      <c r="F68" s="75">
        <f t="shared" si="0"/>
        <v>159856000</v>
      </c>
      <c r="G68" s="359"/>
    </row>
    <row r="69" spans="1:7" s="2" customFormat="1" ht="40.5" customHeight="1" x14ac:dyDescent="0.35">
      <c r="A69" s="7">
        <v>63</v>
      </c>
      <c r="B69" s="19" t="s">
        <v>81</v>
      </c>
      <c r="C69" s="47" t="s">
        <v>158</v>
      </c>
      <c r="D69" s="70">
        <v>118</v>
      </c>
      <c r="E69" s="18">
        <v>319300</v>
      </c>
      <c r="F69" s="75">
        <f t="shared" si="0"/>
        <v>37677400</v>
      </c>
      <c r="G69" s="359"/>
    </row>
    <row r="70" spans="1:7" s="2" customFormat="1" ht="21.5" customHeight="1" x14ac:dyDescent="0.35">
      <c r="A70" s="335"/>
      <c r="B70" s="336"/>
      <c r="C70" s="336"/>
      <c r="D70" s="336"/>
      <c r="E70" s="337"/>
      <c r="F70" s="17"/>
      <c r="G70" s="360"/>
    </row>
    <row r="71" spans="1:7" s="2" customFormat="1" ht="15.65" customHeight="1" x14ac:dyDescent="0.35">
      <c r="A71" s="338" t="s">
        <v>8</v>
      </c>
      <c r="B71" s="339"/>
      <c r="C71" s="339"/>
      <c r="D71" s="339"/>
      <c r="E71" s="340"/>
      <c r="F71" s="142"/>
      <c r="G71" s="14">
        <f>SUM(F7:F70)</f>
        <v>5809478137.8487291</v>
      </c>
    </row>
    <row r="72" spans="1:7" s="2" customFormat="1" ht="15.65" customHeight="1" x14ac:dyDescent="0.35">
      <c r="A72" s="361" t="s">
        <v>219</v>
      </c>
      <c r="B72" s="362"/>
      <c r="C72" s="362"/>
      <c r="D72" s="362"/>
      <c r="E72" s="362"/>
      <c r="F72" s="363"/>
      <c r="G72" s="14">
        <f>G71*12%</f>
        <v>697137376.54184747</v>
      </c>
    </row>
    <row r="73" spans="1:7" s="2" customFormat="1" ht="15.65" customHeight="1" x14ac:dyDescent="0.35">
      <c r="A73" s="361" t="s">
        <v>220</v>
      </c>
      <c r="B73" s="362"/>
      <c r="C73" s="362"/>
      <c r="D73" s="362"/>
      <c r="E73" s="362"/>
      <c r="F73" s="363"/>
      <c r="G73" s="14">
        <f>G71*4%</f>
        <v>232379125.51394916</v>
      </c>
    </row>
    <row r="74" spans="1:7" s="2" customFormat="1" ht="15.65" customHeight="1" x14ac:dyDescent="0.35">
      <c r="A74" s="361" t="s">
        <v>221</v>
      </c>
      <c r="B74" s="362"/>
      <c r="C74" s="362"/>
      <c r="D74" s="362"/>
      <c r="E74" s="362"/>
      <c r="F74" s="363"/>
      <c r="G74" s="14">
        <f>G71*4%</f>
        <v>232379125.51394916</v>
      </c>
    </row>
    <row r="75" spans="1:7" s="2" customFormat="1" ht="15.65" customHeight="1" x14ac:dyDescent="0.35">
      <c r="A75" s="335" t="s">
        <v>222</v>
      </c>
      <c r="B75" s="336"/>
      <c r="C75" s="336"/>
      <c r="D75" s="336"/>
      <c r="E75" s="336"/>
      <c r="F75" s="337"/>
      <c r="G75" s="14">
        <f>G74*19%</f>
        <v>44152033.847650342</v>
      </c>
    </row>
    <row r="76" spans="1:7" s="2" customFormat="1" ht="15.65" customHeight="1" x14ac:dyDescent="0.35">
      <c r="A76" s="347" t="s">
        <v>9</v>
      </c>
      <c r="B76" s="348"/>
      <c r="C76" s="348"/>
      <c r="D76" s="348"/>
      <c r="E76" s="349"/>
      <c r="F76" s="17"/>
      <c r="G76" s="14">
        <f>G71+G75+G72+G73+G74</f>
        <v>7015525799.2661257</v>
      </c>
    </row>
    <row r="77" spans="1:7" s="2" customFormat="1" ht="5.15" customHeight="1" x14ac:dyDescent="0.35">
      <c r="A77" s="335"/>
      <c r="B77" s="336"/>
      <c r="C77" s="336"/>
      <c r="D77" s="336"/>
      <c r="E77" s="336"/>
      <c r="F77" s="336"/>
      <c r="G77" s="337"/>
    </row>
    <row r="78" spans="1:7" s="2" customFormat="1" ht="21.5" customHeight="1" x14ac:dyDescent="0.35">
      <c r="A78" s="355" t="s">
        <v>812</v>
      </c>
      <c r="B78" s="356"/>
      <c r="C78" s="356"/>
      <c r="D78" s="356"/>
      <c r="E78" s="356"/>
      <c r="F78" s="356"/>
      <c r="G78" s="357"/>
    </row>
    <row r="79" spans="1:7" s="2" customFormat="1" ht="21.5" customHeight="1" x14ac:dyDescent="0.35">
      <c r="A79" s="355" t="s">
        <v>14</v>
      </c>
      <c r="B79" s="356"/>
      <c r="C79" s="356"/>
      <c r="D79" s="356"/>
      <c r="E79" s="356"/>
      <c r="F79" s="356"/>
      <c r="G79" s="357"/>
    </row>
    <row r="80" spans="1:7" ht="21.5" customHeight="1" x14ac:dyDescent="0.35">
      <c r="A80" s="351" t="s">
        <v>15</v>
      </c>
      <c r="B80" s="352"/>
      <c r="C80" s="352"/>
      <c r="D80" s="352"/>
      <c r="E80" s="352"/>
      <c r="F80" s="352"/>
      <c r="G80" s="353"/>
    </row>
    <row r="81" spans="1:7" ht="14.4" customHeight="1" x14ac:dyDescent="0.35">
      <c r="A81" s="351" t="s">
        <v>16</v>
      </c>
      <c r="B81" s="352"/>
      <c r="C81" s="352"/>
      <c r="D81" s="352"/>
      <c r="E81" s="352"/>
      <c r="F81" s="352"/>
      <c r="G81" s="353"/>
    </row>
    <row r="82" spans="1:7" ht="48" customHeight="1" x14ac:dyDescent="0.35">
      <c r="A82" s="354" t="s">
        <v>1</v>
      </c>
      <c r="B82" s="354"/>
      <c r="C82" s="341" t="s">
        <v>813</v>
      </c>
      <c r="D82" s="342"/>
      <c r="E82" s="342"/>
      <c r="F82" s="342"/>
      <c r="G82" s="343"/>
    </row>
    <row r="83" spans="1:7" ht="15.65" customHeight="1" x14ac:dyDescent="0.35">
      <c r="A83" s="350" t="s">
        <v>2</v>
      </c>
      <c r="B83" s="350"/>
      <c r="C83" s="344"/>
      <c r="D83" s="345"/>
      <c r="E83" s="345"/>
      <c r="F83" s="345"/>
      <c r="G83" s="346"/>
    </row>
    <row r="84" spans="1:7" ht="14.5" x14ac:dyDescent="0.35">
      <c r="A84" s="5"/>
      <c r="B84" s="6"/>
      <c r="C84" s="160"/>
      <c r="D84" s="158"/>
      <c r="E84" s="160"/>
      <c r="F84" s="160"/>
      <c r="G84" s="8"/>
    </row>
    <row r="85" spans="1:7" ht="14.5" x14ac:dyDescent="0.35">
      <c r="A85" s="4"/>
      <c r="B85" s="6"/>
      <c r="C85" s="160"/>
      <c r="D85" s="158"/>
      <c r="E85" s="160"/>
      <c r="F85" s="160"/>
      <c r="G85" s="8"/>
    </row>
    <row r="86" spans="1:7" ht="14.5" x14ac:dyDescent="0.35">
      <c r="A86" s="4"/>
      <c r="B86" s="6"/>
      <c r="C86" s="160"/>
      <c r="D86" s="158"/>
      <c r="E86" s="160"/>
      <c r="F86" s="160"/>
      <c r="G86" s="9"/>
    </row>
    <row r="87" spans="1:7" ht="14.5" x14ac:dyDescent="0.35">
      <c r="A87" s="4"/>
      <c r="B87" s="6"/>
      <c r="C87" s="160"/>
      <c r="D87" s="158"/>
      <c r="E87" s="160"/>
      <c r="F87" s="160"/>
      <c r="G87" s="9"/>
    </row>
    <row r="88" spans="1:7" ht="14.5" x14ac:dyDescent="0.35">
      <c r="A88" s="4"/>
      <c r="B88" s="6"/>
      <c r="C88" s="160"/>
      <c r="D88" s="158"/>
      <c r="E88" s="160"/>
      <c r="F88" s="160"/>
      <c r="G88" s="9"/>
    </row>
    <row r="89" spans="1:7" x14ac:dyDescent="0.35">
      <c r="A89" s="4"/>
      <c r="G89" s="9"/>
    </row>
  </sheetData>
  <mergeCells count="22">
    <mergeCell ref="A77:G77"/>
    <mergeCell ref="A71:E71"/>
    <mergeCell ref="A70:E70"/>
    <mergeCell ref="C82:G83"/>
    <mergeCell ref="A76:E76"/>
    <mergeCell ref="A83:B83"/>
    <mergeCell ref="A80:G80"/>
    <mergeCell ref="A81:G81"/>
    <mergeCell ref="A82:B82"/>
    <mergeCell ref="A78:G78"/>
    <mergeCell ref="A79:G79"/>
    <mergeCell ref="G6:G70"/>
    <mergeCell ref="A72:F72"/>
    <mergeCell ref="A73:F73"/>
    <mergeCell ref="A74:F74"/>
    <mergeCell ref="A75:F75"/>
    <mergeCell ref="A5:G5"/>
    <mergeCell ref="A1:G1"/>
    <mergeCell ref="A4:D4"/>
    <mergeCell ref="E4:G4"/>
    <mergeCell ref="A2:G2"/>
    <mergeCell ref="A3:G3"/>
  </mergeCells>
  <phoneticPr fontId="5" type="noConversion"/>
  <pageMargins left="0.39370078740157483" right="0.39370078740157483" top="0.39370078740157483" bottom="0.39370078740157483" header="0.31496062992125984" footer="0.31496062992125984"/>
  <pageSetup fitToHeight="0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F7B6-1B60-483E-83D3-B06E5474B1C7}">
  <sheetPr>
    <tabColor rgb="FFFFFF00"/>
  </sheetPr>
  <dimension ref="A1:F63"/>
  <sheetViews>
    <sheetView workbookViewId="0">
      <selection activeCell="J18" sqref="J18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206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ACTUALIZADO'!C53</f>
        <v>ML</v>
      </c>
    </row>
    <row r="3" spans="1:6" x14ac:dyDescent="0.35">
      <c r="A3" s="33"/>
      <c r="B3" s="34"/>
      <c r="C3" s="45"/>
      <c r="D3" s="46"/>
      <c r="E3" s="37"/>
      <c r="F3" s="77">
        <f>'RESUMEN ACTUALIZADO'!D53</f>
        <v>7</v>
      </c>
    </row>
    <row r="4" spans="1:6" x14ac:dyDescent="0.35">
      <c r="A4" s="24" t="s">
        <v>225</v>
      </c>
      <c r="B4" s="22">
        <v>2</v>
      </c>
      <c r="C4" s="23"/>
      <c r="D4" s="24">
        <f>IFERROR(VLOOKUP(A4,[1]!TablaEquipos[#Data],2,FALSE),0)</f>
        <v>1500</v>
      </c>
      <c r="E4" s="25">
        <f t="shared" ref="E4:E11" si="0">B4*C4*D4</f>
        <v>0</v>
      </c>
      <c r="F4" s="310"/>
    </row>
    <row r="5" spans="1:6" x14ac:dyDescent="0.35">
      <c r="A5" s="26" t="s">
        <v>226</v>
      </c>
      <c r="B5" s="22">
        <v>1</v>
      </c>
      <c r="C5" s="23"/>
      <c r="D5" s="24">
        <f>IFERROR(VLOOKUP(A5,[1]!TablaEquipos[#Data],2,FALSE),0)</f>
        <v>700</v>
      </c>
      <c r="E5" s="25">
        <f t="shared" si="0"/>
        <v>0</v>
      </c>
      <c r="F5" s="310"/>
    </row>
    <row r="6" spans="1:6" x14ac:dyDescent="0.35">
      <c r="A6" s="26" t="s">
        <v>227</v>
      </c>
      <c r="B6" s="22">
        <v>4</v>
      </c>
      <c r="C6" s="23"/>
      <c r="D6" s="24">
        <f>IFERROR(VLOOKUP(A6,[1]!TablaEquipos[#Data],2,FALSE),0)</f>
        <v>700</v>
      </c>
      <c r="E6" s="25">
        <f t="shared" si="0"/>
        <v>0</v>
      </c>
      <c r="F6" s="310"/>
    </row>
    <row r="7" spans="1:6" x14ac:dyDescent="0.35">
      <c r="A7" s="24" t="s">
        <v>228</v>
      </c>
      <c r="B7" s="22">
        <v>4</v>
      </c>
      <c r="C7" s="23"/>
      <c r="D7" s="24">
        <f>IFERROR(VLOOKUP(A7,[1]!TablaEquipos[#Data],2,FALSE),0)</f>
        <v>1500</v>
      </c>
      <c r="E7" s="25">
        <f t="shared" si="0"/>
        <v>0</v>
      </c>
      <c r="F7" s="310"/>
    </row>
    <row r="8" spans="1:6" x14ac:dyDescent="0.35">
      <c r="A8" s="26" t="s">
        <v>230</v>
      </c>
      <c r="B8" s="22">
        <v>1</v>
      </c>
      <c r="C8" s="23"/>
      <c r="D8" s="24">
        <f>IFERROR(VLOOKUP(A8,[1]!TablaEquipos[#Data],2,FALSE),0)</f>
        <v>15000</v>
      </c>
      <c r="E8" s="25">
        <f t="shared" si="0"/>
        <v>0</v>
      </c>
      <c r="F8" s="310"/>
    </row>
    <row r="9" spans="1:6" x14ac:dyDescent="0.35">
      <c r="A9" s="24" t="s">
        <v>231</v>
      </c>
      <c r="B9" s="22">
        <v>2</v>
      </c>
      <c r="C9" s="23"/>
      <c r="D9" s="24">
        <f>IFERROR(VLOOKUP(A9,[1]!TablaEquipos[#Data],2,FALSE),0)</f>
        <v>1500</v>
      </c>
      <c r="E9" s="25">
        <f t="shared" si="0"/>
        <v>0</v>
      </c>
      <c r="F9" s="310"/>
    </row>
    <row r="10" spans="1:6" x14ac:dyDescent="0.35">
      <c r="A10" s="81" t="s">
        <v>232</v>
      </c>
      <c r="B10" s="82">
        <v>1</v>
      </c>
      <c r="C10" s="32"/>
      <c r="D10" s="81">
        <f>IFERROR(VLOOKUP(A10,[1]!TablaEquipos[#Data],2,FALSE),0)</f>
        <v>500</v>
      </c>
      <c r="E10" s="83">
        <f t="shared" si="0"/>
        <v>0</v>
      </c>
      <c r="F10" s="310"/>
    </row>
    <row r="11" spans="1:6" x14ac:dyDescent="0.35">
      <c r="A11" s="24" t="s">
        <v>233</v>
      </c>
      <c r="B11" s="22">
        <v>1</v>
      </c>
      <c r="C11" s="23"/>
      <c r="D11" s="24">
        <f>IFERROR(VLOOKUP(A11,[1]!TablaEquipos[#Data],2,FALSE),0)</f>
        <v>500</v>
      </c>
      <c r="E11" s="25">
        <f t="shared" si="0"/>
        <v>0</v>
      </c>
      <c r="F11" s="310"/>
    </row>
    <row r="12" spans="1:6" x14ac:dyDescent="0.35">
      <c r="A12" s="24" t="s">
        <v>234</v>
      </c>
      <c r="B12" s="22"/>
      <c r="C12" s="23"/>
      <c r="D12" s="24">
        <f>IFERROR(VLOOKUP(A12,[1]!TablaEquipos[#Data],2,FALSE),0)</f>
        <v>135000</v>
      </c>
      <c r="E12" s="25">
        <f>B12*D12</f>
        <v>0</v>
      </c>
      <c r="F12" s="310"/>
    </row>
    <row r="13" spans="1:6" x14ac:dyDescent="0.35">
      <c r="A13" s="24" t="s">
        <v>235</v>
      </c>
      <c r="B13" s="22">
        <v>2</v>
      </c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 t="s">
        <v>236</v>
      </c>
      <c r="B14" s="22">
        <v>2</v>
      </c>
      <c r="C14" s="23"/>
      <c r="D14" s="24">
        <f>IFERROR(VLOOKUP(A14,[1]!TablaEquipos[#Data],2,FALSE),0)</f>
        <v>9000</v>
      </c>
      <c r="E14" s="25">
        <f>B14*C14*D14</f>
        <v>0</v>
      </c>
      <c r="F14" s="310"/>
    </row>
    <row r="15" spans="1:6" x14ac:dyDescent="0.35">
      <c r="A15" s="24" t="s">
        <v>237</v>
      </c>
      <c r="B15" s="22">
        <v>2</v>
      </c>
      <c r="C15" s="23"/>
      <c r="D15" s="24">
        <f>IFERROR(VLOOKUP(A15,[1]!TablaEquipos[#Data],2,FALSE),0)</f>
        <v>1000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253</v>
      </c>
      <c r="B24" s="22"/>
      <c r="C24" s="29"/>
      <c r="D24" s="27">
        <f>IFERROR(VLOOKUP(A24,[1]!TablaMateriales[#Data],2,FALSE),0)</f>
        <v>35000</v>
      </c>
      <c r="E24" s="25">
        <f>B24*D24</f>
        <v>0</v>
      </c>
      <c r="F24" s="281"/>
    </row>
    <row r="25" spans="1:6" x14ac:dyDescent="0.35">
      <c r="A25" s="30" t="s">
        <v>254</v>
      </c>
      <c r="B25" s="22"/>
      <c r="C25" s="29"/>
      <c r="D25" s="27">
        <f>IFERROR(VLOOKUP(A25,[1]!TablaMateriales[#Data],2,FALSE),0)</f>
        <v>20000</v>
      </c>
      <c r="E25" s="25">
        <f>B25*D25</f>
        <v>0</v>
      </c>
      <c r="F25" s="281"/>
    </row>
    <row r="26" spans="1:6" x14ac:dyDescent="0.35">
      <c r="A26" s="30" t="s">
        <v>255</v>
      </c>
      <c r="B26" s="22"/>
      <c r="C26" s="29"/>
      <c r="D26" s="27">
        <f>IFERROR(VLOOKUP(A26,[1]!TablaMateriales[#Data],2,FALSE),0)</f>
        <v>50000</v>
      </c>
      <c r="E26" s="25">
        <f>B26*D26</f>
        <v>0</v>
      </c>
      <c r="F26" s="281"/>
    </row>
    <row r="27" spans="1:6" x14ac:dyDescent="0.35">
      <c r="A27" s="30" t="s">
        <v>256</v>
      </c>
      <c r="B27" s="22"/>
      <c r="C27" s="29"/>
      <c r="D27" s="27">
        <f>IFERROR(VLOOKUP(A27,[1]!TablaMateriales[#Data],2,FALSE),0)</f>
        <v>0</v>
      </c>
      <c r="E27" s="25">
        <f>B27*D27</f>
        <v>0</v>
      </c>
      <c r="F27" s="281"/>
    </row>
    <row r="28" spans="1:6" x14ac:dyDescent="0.35">
      <c r="A28" s="30" t="s">
        <v>257</v>
      </c>
      <c r="B28" s="78"/>
      <c r="C28" s="23"/>
      <c r="D28" s="27">
        <f>IFERROR(VLOOKUP(A28,[1]!TablaMateriales[#Data],2,FALSE),0)</f>
        <v>9500</v>
      </c>
      <c r="E28" s="25">
        <f>B28*D28</f>
        <v>0</v>
      </c>
      <c r="F28" s="281"/>
    </row>
    <row r="29" spans="1:6" x14ac:dyDescent="0.35">
      <c r="A29" s="30" t="s">
        <v>258</v>
      </c>
      <c r="B29" s="78"/>
      <c r="C29" s="23"/>
      <c r="D29" s="27">
        <f>IFERROR(VLOOKUP(A29,[1]!TablaMateriales[#Data],2,FALSE),0)</f>
        <v>9500</v>
      </c>
      <c r="E29" s="25">
        <f t="shared" ref="E29:E35" si="1">B29*D29</f>
        <v>0</v>
      </c>
      <c r="F29" s="281"/>
    </row>
    <row r="30" spans="1:6" x14ac:dyDescent="0.35">
      <c r="A30" s="30" t="s">
        <v>259</v>
      </c>
      <c r="B30" s="78"/>
      <c r="C30" s="23"/>
      <c r="D30" s="27">
        <f>IFERROR(VLOOKUP(A30,[1]!TablaMateriales[#Data],2,FALSE),0)</f>
        <v>15000</v>
      </c>
      <c r="E30" s="25">
        <f t="shared" si="1"/>
        <v>0</v>
      </c>
      <c r="F30" s="281"/>
    </row>
    <row r="31" spans="1:6" x14ac:dyDescent="0.35">
      <c r="A31" s="30" t="s">
        <v>260</v>
      </c>
      <c r="B31" s="78"/>
      <c r="C31" s="23"/>
      <c r="D31" s="27">
        <f>IFERROR(VLOOKUP(A31,[1]!TablaMateriales[#Data],2,FALSE),0)</f>
        <v>20000</v>
      </c>
      <c r="E31" s="25">
        <f t="shared" si="1"/>
        <v>0</v>
      </c>
      <c r="F31" s="281"/>
    </row>
    <row r="32" spans="1:6" ht="23" x14ac:dyDescent="0.35">
      <c r="A32" s="79" t="s">
        <v>261</v>
      </c>
      <c r="B32" s="78"/>
      <c r="C32" s="23"/>
      <c r="D32" s="27">
        <f>IFERROR(VLOOKUP(A32,[1]!TablaMateriales[#Data],2,FALSE),0)</f>
        <v>55000</v>
      </c>
      <c r="E32" s="25">
        <f t="shared" si="1"/>
        <v>0</v>
      </c>
      <c r="F32" s="281"/>
    </row>
    <row r="33" spans="1:6" x14ac:dyDescent="0.35">
      <c r="A33" s="30" t="s">
        <v>262</v>
      </c>
      <c r="B33" s="78"/>
      <c r="C33" s="23"/>
      <c r="D33" s="27">
        <f>IFERROR(VLOOKUP(A33,[1]!TablaMateriales[#Data],2,FALSE),0)</f>
        <v>15900</v>
      </c>
      <c r="E33" s="25">
        <f t="shared" si="1"/>
        <v>0</v>
      </c>
      <c r="F33" s="281"/>
    </row>
    <row r="34" spans="1:6" x14ac:dyDescent="0.35">
      <c r="A34" s="31" t="s">
        <v>263</v>
      </c>
      <c r="B34" s="78"/>
      <c r="C34" s="23"/>
      <c r="D34" s="27">
        <f>IFERROR(VLOOKUP(A34,[1]!TablaMateriales[#Data],2,FALSE),0)</f>
        <v>14000</v>
      </c>
      <c r="E34" s="25">
        <f t="shared" si="1"/>
        <v>0</v>
      </c>
      <c r="F34" s="281"/>
    </row>
    <row r="35" spans="1:6" x14ac:dyDescent="0.35">
      <c r="A35" s="31" t="s">
        <v>264</v>
      </c>
      <c r="B35" s="78"/>
      <c r="C35" s="23"/>
      <c r="D35" s="27">
        <f>IFERROR(VLOOKUP(A35,[1]!TablaMateriales[#Data],2,FALSE),0)</f>
        <v>3800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/>
      <c r="D43" s="39">
        <f>IFERROR(VLOOKUP(A43,[1]!Tabla8[#Data],3,FALSE),0)</f>
        <v>555393.74067333317</v>
      </c>
      <c r="E43" s="37">
        <f>B43*C43*D43</f>
        <v>0</v>
      </c>
      <c r="F43" s="281"/>
    </row>
    <row r="44" spans="1:6" x14ac:dyDescent="0.35">
      <c r="A44" s="107" t="s">
        <v>273</v>
      </c>
      <c r="B44" s="20">
        <v>1</v>
      </c>
      <c r="C44" s="40"/>
      <c r="D44" s="39">
        <f>IFERROR(VLOOKUP(A44,[1]!Tabla8[#Data],3,FALSE),0)</f>
        <v>555393.74067333317</v>
      </c>
      <c r="E44" s="21">
        <f t="shared" ref="E44:E50" si="2">B44*C44*D44</f>
        <v>0</v>
      </c>
      <c r="F44" s="281"/>
    </row>
    <row r="45" spans="1:6" x14ac:dyDescent="0.35">
      <c r="A45" s="107" t="s">
        <v>277</v>
      </c>
      <c r="B45" s="20">
        <v>1</v>
      </c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>
        <v>1.5</v>
      </c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>
        <v>2</v>
      </c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/>
      <c r="D48" s="39">
        <f>IFERROR(VLOOKUP(A48,[1]!Tabla8[#Data],3,FALSE),0)</f>
        <v>371571.3297066667</v>
      </c>
      <c r="E48" s="21">
        <f t="shared" si="2"/>
        <v>0</v>
      </c>
      <c r="F48" s="281"/>
    </row>
    <row r="49" spans="1:6" x14ac:dyDescent="0.35">
      <c r="A49" s="107" t="s">
        <v>223</v>
      </c>
      <c r="B49" s="20">
        <v>1</v>
      </c>
      <c r="C49" s="35"/>
      <c r="D49" s="39">
        <f>IFERROR(VLOOKUP(A49,[1]!Tabla8[#Data],3,FALSE),0)</f>
        <v>355821.87609999999</v>
      </c>
      <c r="E49" s="21">
        <f>B49*C49*D49</f>
        <v>0</v>
      </c>
      <c r="F49" s="281"/>
    </row>
    <row r="50" spans="1:6" x14ac:dyDescent="0.35">
      <c r="A50" s="107" t="s">
        <v>275</v>
      </c>
      <c r="B50" s="20">
        <v>2</v>
      </c>
      <c r="C50" s="40"/>
      <c r="D50" s="39">
        <f>IFERROR(VLOOKUP(A50,[1]!Tabla8[#Data],3,FALSE),0)</f>
        <v>382109.06042666658</v>
      </c>
      <c r="E50" s="21">
        <f t="shared" si="2"/>
        <v>0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0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08"/>
      <c r="D53" s="108">
        <f>IFERROR(VLOOKUP(A53,[1]!TablaTransporte[#Data],2,FALSE),0)</f>
        <v>550000</v>
      </c>
      <c r="E53" s="110">
        <f>B53*C53*D53</f>
        <v>0</v>
      </c>
      <c r="F53" s="284"/>
    </row>
    <row r="54" spans="1:6" x14ac:dyDescent="0.35">
      <c r="A54" s="108" t="s">
        <v>241</v>
      </c>
      <c r="B54" s="108">
        <v>1</v>
      </c>
      <c r="C54" s="108">
        <v>57</v>
      </c>
      <c r="D54" s="108">
        <f>IFERROR(VLOOKUP(A54,[1]!TablaTransporte[#Data],2,FALSE),0)</f>
        <v>65000</v>
      </c>
      <c r="E54" s="108">
        <f>B54*C54*D54</f>
        <v>3705000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3705000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3705000</v>
      </c>
    </row>
    <row r="59" spans="1:6" ht="15" thickBot="1" x14ac:dyDescent="0.4">
      <c r="A59" s="291">
        <v>0.15</v>
      </c>
      <c r="B59" s="292"/>
      <c r="C59" s="292"/>
      <c r="D59" s="292"/>
      <c r="E59" s="293"/>
      <c r="F59" s="44">
        <f>F58*A59</f>
        <v>555750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4260750</v>
      </c>
    </row>
    <row r="61" spans="1:6" ht="15" thickBot="1" x14ac:dyDescent="0.4">
      <c r="A61" s="302">
        <v>0.1</v>
      </c>
      <c r="B61" s="300"/>
      <c r="C61" s="300"/>
      <c r="D61" s="300"/>
      <c r="E61" s="301"/>
      <c r="F61" s="28">
        <f>F60*A61</f>
        <v>426075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4686825</v>
      </c>
    </row>
    <row r="63" spans="1:6" x14ac:dyDescent="0.35">
      <c r="F63" s="80">
        <f>F62/F3</f>
        <v>669546.42857142852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7C5AEA82-EF74-4BAD-9FD9-CBEB55FBF9FD}">
      <formula1>ListaMateriales</formula1>
    </dataValidation>
    <dataValidation type="list" allowBlank="1" showInputMessage="1" showErrorMessage="1" sqref="A3 A4 A5 A6 A7 A8 A9 A10 A11 A12 A13 A14 A15 A16 A17 A18 A19 A20 A21 A22" xr:uid="{E9847708-6CCC-4C77-962D-0474BE0D0BEC}">
      <formula1>ListaEquipos</formula1>
    </dataValidation>
    <dataValidation type="list" allowBlank="1" showInputMessage="1" showErrorMessage="1" sqref="A54 A55 A56" xr:uid="{13755752-4487-45EA-B79D-96E6D3BA6CE9}">
      <formula1>ListaTransporte</formula1>
    </dataValidation>
    <dataValidation type="list" allowBlank="1" showInputMessage="1" showErrorMessage="1" sqref="A43:A50" xr:uid="{B94F44D6-FAFA-4B30-9A62-38F3BAF4F63B}">
      <formula1>ListaProfesiones</formula1>
    </dataValidation>
  </dataValidation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5DD0-6B1B-4B43-AAC5-A9FA4BB95234}">
  <sheetPr>
    <tabColor rgb="FFFFFF00"/>
  </sheetPr>
  <dimension ref="A1:F62"/>
  <sheetViews>
    <sheetView topLeftCell="A4" workbookViewId="0">
      <selection activeCell="J13" sqref="J13"/>
    </sheetView>
  </sheetViews>
  <sheetFormatPr baseColWidth="10" defaultRowHeight="14.5" x14ac:dyDescent="0.35"/>
  <cols>
    <col min="1" max="1" width="30.54296875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207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ACTUALIZADO'!C54</f>
        <v>ML</v>
      </c>
    </row>
    <row r="3" spans="1:6" x14ac:dyDescent="0.35">
      <c r="F3" s="77">
        <f>'RESUMEN ACTUALIZADO'!D54</f>
        <v>208</v>
      </c>
    </row>
    <row r="4" spans="1:6" ht="15.5" x14ac:dyDescent="0.35">
      <c r="A4" s="122" t="s">
        <v>682</v>
      </c>
      <c r="B4" s="22">
        <v>1</v>
      </c>
      <c r="C4" s="23">
        <v>12</v>
      </c>
      <c r="D4" s="24">
        <f>IFERROR(VLOOKUP(A4,[1]!TablaEquipos[#Data],2,FALSE),0)</f>
        <v>60000</v>
      </c>
      <c r="E4" s="37">
        <f>B4*C4*D4</f>
        <v>720000</v>
      </c>
      <c r="F4" s="310"/>
    </row>
    <row r="5" spans="1:6" ht="31" x14ac:dyDescent="0.35">
      <c r="A5" s="252" t="s">
        <v>438</v>
      </c>
      <c r="B5" s="22">
        <v>1</v>
      </c>
      <c r="C5" s="23">
        <v>12</v>
      </c>
      <c r="D5" s="24">
        <f>IFERROR(VLOOKUP(A5,[1]!TablaEquipos[#Data],2,FALSE),0)</f>
        <v>14000</v>
      </c>
      <c r="E5" s="37">
        <f t="shared" ref="E5:E12" si="0">B5*C5*D5</f>
        <v>168000</v>
      </c>
      <c r="F5" s="310"/>
    </row>
    <row r="6" spans="1:6" ht="15.5" x14ac:dyDescent="0.35">
      <c r="A6" s="253" t="s">
        <v>344</v>
      </c>
      <c r="B6" s="22">
        <v>1</v>
      </c>
      <c r="C6" s="23">
        <v>12</v>
      </c>
      <c r="D6" s="24">
        <f>IFERROR(VLOOKUP(A6,[1]!TablaEquipos[#Data],2,FALSE),0)</f>
        <v>40000</v>
      </c>
      <c r="E6" s="37">
        <f t="shared" si="0"/>
        <v>480000</v>
      </c>
      <c r="F6" s="310"/>
    </row>
    <row r="7" spans="1:6" ht="15.5" x14ac:dyDescent="0.35">
      <c r="A7" s="225" t="s">
        <v>393</v>
      </c>
      <c r="B7" s="22">
        <v>1</v>
      </c>
      <c r="C7" s="23">
        <v>12</v>
      </c>
      <c r="D7" s="24">
        <f>IFERROR(VLOOKUP(A7,[1]!TablaEquipos[#Data],2,FALSE),0)</f>
        <v>15000</v>
      </c>
      <c r="E7" s="37">
        <f t="shared" si="0"/>
        <v>180000</v>
      </c>
      <c r="F7" s="310"/>
    </row>
    <row r="8" spans="1:6" ht="15.5" x14ac:dyDescent="0.35">
      <c r="A8" s="225" t="s">
        <v>434</v>
      </c>
      <c r="B8" s="22">
        <v>1</v>
      </c>
      <c r="C8" s="23">
        <v>12</v>
      </c>
      <c r="D8" s="24">
        <f>IFERROR(VLOOKUP(A8,[1]!TablaEquipos[#Data],2,FALSE),0)</f>
        <v>1000</v>
      </c>
      <c r="E8" s="37">
        <f t="shared" si="0"/>
        <v>12000</v>
      </c>
      <c r="F8" s="310"/>
    </row>
    <row r="9" spans="1:6" ht="15.5" x14ac:dyDescent="0.35">
      <c r="A9" s="253" t="s">
        <v>341</v>
      </c>
      <c r="B9" s="22">
        <v>1</v>
      </c>
      <c r="C9" s="23">
        <v>12</v>
      </c>
      <c r="D9" s="24">
        <f>IFERROR(VLOOKUP(A9,[1]!TablaEquipos[#Data],2,FALSE),0)</f>
        <v>1000</v>
      </c>
      <c r="E9" s="37">
        <f t="shared" si="0"/>
        <v>12000</v>
      </c>
      <c r="F9" s="310"/>
    </row>
    <row r="10" spans="1:6" ht="15.5" x14ac:dyDescent="0.35">
      <c r="A10" s="253" t="s">
        <v>432</v>
      </c>
      <c r="B10" s="22">
        <v>1</v>
      </c>
      <c r="C10" s="23">
        <v>12</v>
      </c>
      <c r="D10" s="24">
        <f>IFERROR(VLOOKUP(A10,[1]!TablaEquipos[#Data],2,FALSE),0)</f>
        <v>500</v>
      </c>
      <c r="E10" s="37">
        <f t="shared" si="0"/>
        <v>6000</v>
      </c>
      <c r="F10" s="310"/>
    </row>
    <row r="11" spans="1:6" ht="15.5" x14ac:dyDescent="0.35">
      <c r="A11" s="225" t="s">
        <v>458</v>
      </c>
      <c r="B11" s="82">
        <v>1</v>
      </c>
      <c r="C11" s="23">
        <v>12</v>
      </c>
      <c r="D11" s="24">
        <f>IFERROR(VLOOKUP(A11,[1]!TablaEquipos[#Data],2,FALSE),0)</f>
        <v>700</v>
      </c>
      <c r="E11" s="37">
        <f t="shared" si="0"/>
        <v>8400</v>
      </c>
      <c r="F11" s="310"/>
    </row>
    <row r="12" spans="1:6" ht="15.5" x14ac:dyDescent="0.35">
      <c r="A12" s="133" t="s">
        <v>677</v>
      </c>
      <c r="B12" s="22">
        <v>1</v>
      </c>
      <c r="C12" s="23">
        <v>12</v>
      </c>
      <c r="D12" s="24">
        <f>IFERROR(VLOOKUP(A12,[1]!TablaEquipos[#Data],2,FALSE),0)</f>
        <v>3000</v>
      </c>
      <c r="E12" s="37">
        <f t="shared" si="0"/>
        <v>36000</v>
      </c>
      <c r="F12" s="310"/>
    </row>
    <row r="13" spans="1:6" x14ac:dyDescent="0.35">
      <c r="A13" s="24"/>
      <c r="B13" s="22"/>
      <c r="C13" s="23"/>
      <c r="D13" s="24"/>
      <c r="E13" s="25"/>
      <c r="F13" s="310"/>
    </row>
    <row r="14" spans="1:6" x14ac:dyDescent="0.35">
      <c r="A14" s="24"/>
      <c r="B14" s="22"/>
      <c r="C14" s="23"/>
      <c r="D14" s="24"/>
      <c r="E14" s="25"/>
      <c r="F14" s="310"/>
    </row>
    <row r="15" spans="1:6" x14ac:dyDescent="0.35">
      <c r="A15" s="24"/>
      <c r="B15" s="22"/>
      <c r="C15" s="23"/>
      <c r="D15" s="24"/>
      <c r="E15" s="25"/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ht="15" thickBot="1" x14ac:dyDescent="0.4">
      <c r="A21" s="294"/>
      <c r="B21" s="295"/>
      <c r="C21" s="295"/>
      <c r="D21" s="295"/>
      <c r="E21" s="295"/>
      <c r="F21" s="84">
        <f>SUM(E5:E20)</f>
        <v>902400</v>
      </c>
    </row>
    <row r="22" spans="1:6" x14ac:dyDescent="0.35">
      <c r="A22" s="33" t="s">
        <v>270</v>
      </c>
      <c r="B22" s="34" t="s">
        <v>83</v>
      </c>
      <c r="C22" s="45" t="s">
        <v>84</v>
      </c>
      <c r="D22" s="46" t="s">
        <v>269</v>
      </c>
      <c r="E22" s="37" t="s">
        <v>86</v>
      </c>
      <c r="F22" s="280"/>
    </row>
    <row r="23" spans="1:6" ht="15.5" x14ac:dyDescent="0.35">
      <c r="A23" s="236" t="s">
        <v>675</v>
      </c>
      <c r="B23" s="22"/>
      <c r="C23" s="29"/>
      <c r="D23" s="27">
        <v>8000</v>
      </c>
      <c r="E23" s="25"/>
      <c r="F23" s="281"/>
    </row>
    <row r="24" spans="1:6" ht="15.5" x14ac:dyDescent="0.35">
      <c r="A24" s="236" t="s">
        <v>683</v>
      </c>
      <c r="B24" s="22"/>
      <c r="C24" s="29"/>
      <c r="D24" s="27">
        <v>20000</v>
      </c>
      <c r="E24" s="25"/>
      <c r="F24" s="281"/>
    </row>
    <row r="25" spans="1:6" ht="31" x14ac:dyDescent="0.35">
      <c r="A25" s="236" t="s">
        <v>402</v>
      </c>
      <c r="B25" s="22"/>
      <c r="C25" s="29"/>
      <c r="D25" s="27">
        <v>32000</v>
      </c>
      <c r="E25" s="25"/>
      <c r="F25" s="281"/>
    </row>
    <row r="26" spans="1:6" ht="15.5" x14ac:dyDescent="0.35">
      <c r="A26" s="236" t="s">
        <v>506</v>
      </c>
      <c r="B26" s="22"/>
      <c r="C26" s="29"/>
      <c r="D26" s="27"/>
      <c r="E26" s="25"/>
      <c r="F26" s="281"/>
    </row>
    <row r="27" spans="1:6" x14ac:dyDescent="0.35">
      <c r="A27" s="30"/>
      <c r="B27" s="78"/>
      <c r="C27" s="23"/>
      <c r="D27" s="27"/>
      <c r="E27" s="25"/>
      <c r="F27" s="281"/>
    </row>
    <row r="28" spans="1:6" x14ac:dyDescent="0.35">
      <c r="A28" s="30"/>
      <c r="B28" s="78"/>
      <c r="C28" s="23"/>
      <c r="D28" s="27"/>
      <c r="E28" s="25"/>
      <c r="F28" s="281"/>
    </row>
    <row r="29" spans="1:6" x14ac:dyDescent="0.35">
      <c r="A29" s="30"/>
      <c r="B29" s="78"/>
      <c r="C29" s="23"/>
      <c r="D29" s="27"/>
      <c r="E29" s="25"/>
      <c r="F29" s="281"/>
    </row>
    <row r="30" spans="1:6" x14ac:dyDescent="0.35">
      <c r="A30" s="30"/>
      <c r="B30" s="78"/>
      <c r="C30" s="23"/>
      <c r="D30" s="27"/>
      <c r="E30" s="25"/>
      <c r="F30" s="281"/>
    </row>
    <row r="31" spans="1:6" x14ac:dyDescent="0.35">
      <c r="A31" s="79"/>
      <c r="B31" s="78"/>
      <c r="C31" s="23"/>
      <c r="D31" s="27"/>
      <c r="E31" s="25"/>
      <c r="F31" s="281"/>
    </row>
    <row r="32" spans="1:6" x14ac:dyDescent="0.35">
      <c r="A32" s="30"/>
      <c r="B32" s="78"/>
      <c r="C32" s="23"/>
      <c r="D32" s="27"/>
      <c r="E32" s="25"/>
      <c r="F32" s="281"/>
    </row>
    <row r="33" spans="1:6" x14ac:dyDescent="0.35">
      <c r="A33" s="31"/>
      <c r="B33" s="78"/>
      <c r="C33" s="23"/>
      <c r="D33" s="27"/>
      <c r="E33" s="25"/>
      <c r="F33" s="281"/>
    </row>
    <row r="34" spans="1:6" x14ac:dyDescent="0.35">
      <c r="A34" s="31"/>
      <c r="B34" s="78"/>
      <c r="C34" s="23"/>
      <c r="D34" s="27"/>
      <c r="E34" s="27"/>
      <c r="F34" s="282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/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ht="15" thickBot="1" x14ac:dyDescent="0.4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296"/>
      <c r="B40" s="297"/>
      <c r="C40" s="297"/>
      <c r="D40" s="297"/>
      <c r="E40" s="298"/>
      <c r="F40" s="28">
        <f>SUM(E23:E39)</f>
        <v>0</v>
      </c>
    </row>
    <row r="41" spans="1:6" x14ac:dyDescent="0.35">
      <c r="A41" s="33" t="s">
        <v>88</v>
      </c>
      <c r="B41" s="34" t="s">
        <v>83</v>
      </c>
      <c r="C41" s="35" t="s">
        <v>84</v>
      </c>
      <c r="D41" s="36" t="s">
        <v>89</v>
      </c>
      <c r="E41" s="37" t="s">
        <v>86</v>
      </c>
      <c r="F41" s="280"/>
    </row>
    <row r="42" spans="1:6" x14ac:dyDescent="0.35">
      <c r="A42" s="38" t="s">
        <v>272</v>
      </c>
      <c r="B42" s="34">
        <v>1</v>
      </c>
      <c r="C42" s="35"/>
      <c r="D42" s="39">
        <f>IFERROR(VLOOKUP(A42,[1]!Tabla8[#Data],3,FALSE),0)</f>
        <v>555393.74067333317</v>
      </c>
      <c r="E42" s="37">
        <f>B42*C42*D42</f>
        <v>0</v>
      </c>
      <c r="F42" s="281"/>
    </row>
    <row r="43" spans="1:6" x14ac:dyDescent="0.35">
      <c r="A43" s="107" t="s">
        <v>273</v>
      </c>
      <c r="B43" s="20">
        <v>1</v>
      </c>
      <c r="C43" s="40"/>
      <c r="D43" s="39">
        <f>IFERROR(VLOOKUP(A43,[1]!Tabla8[#Data],3,FALSE),0)</f>
        <v>555393.74067333317</v>
      </c>
      <c r="E43" s="21">
        <f t="shared" ref="E43:E49" si="1">B43*C43*D43</f>
        <v>0</v>
      </c>
      <c r="F43" s="281"/>
    </row>
    <row r="44" spans="1:6" x14ac:dyDescent="0.35">
      <c r="A44" s="107" t="s">
        <v>277</v>
      </c>
      <c r="B44" s="20">
        <v>1</v>
      </c>
      <c r="C44" s="35"/>
      <c r="D44" s="39">
        <f>IFERROR(VLOOKUP(A44,[1]!Tabla8[#Data],3,FALSE),0)</f>
        <v>555393.74067333317</v>
      </c>
      <c r="E44" s="21">
        <f>B44*C44*D44</f>
        <v>0</v>
      </c>
      <c r="F44" s="281"/>
    </row>
    <row r="45" spans="1:6" x14ac:dyDescent="0.35">
      <c r="A45" s="107" t="s">
        <v>278</v>
      </c>
      <c r="B45" s="20">
        <v>1.5</v>
      </c>
      <c r="C45" s="35"/>
      <c r="D45" s="39">
        <f>IFERROR(VLOOKUP(A45,[1]!Tabla8[#Data],3,FALSE),0)</f>
        <v>407197.80492666672</v>
      </c>
      <c r="E45" s="21">
        <f>B45*C45*D45</f>
        <v>0</v>
      </c>
      <c r="F45" s="281"/>
    </row>
    <row r="46" spans="1:6" x14ac:dyDescent="0.35">
      <c r="A46" s="107" t="s">
        <v>276</v>
      </c>
      <c r="B46" s="20">
        <v>2</v>
      </c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274</v>
      </c>
      <c r="B47" s="20">
        <v>1</v>
      </c>
      <c r="C47" s="35"/>
      <c r="D47" s="39">
        <f>IFERROR(VLOOKUP(A47,[1]!Tabla8[#Data],3,FALSE),0)</f>
        <v>371571.3297066667</v>
      </c>
      <c r="E47" s="21">
        <f t="shared" si="1"/>
        <v>0</v>
      </c>
      <c r="F47" s="281"/>
    </row>
    <row r="48" spans="1:6" x14ac:dyDescent="0.35">
      <c r="A48" s="107" t="s">
        <v>223</v>
      </c>
      <c r="B48" s="20">
        <v>1</v>
      </c>
      <c r="C48" s="35"/>
      <c r="D48" s="39">
        <f>IFERROR(VLOOKUP(A48,[1]!Tabla8[#Data],3,FALSE),0)</f>
        <v>355821.87609999999</v>
      </c>
      <c r="E48" s="21">
        <f>B48*C48*D48</f>
        <v>0</v>
      </c>
      <c r="F48" s="281"/>
    </row>
    <row r="49" spans="1:6" x14ac:dyDescent="0.35">
      <c r="A49" s="107" t="s">
        <v>275</v>
      </c>
      <c r="B49" s="20">
        <v>2</v>
      </c>
      <c r="C49" s="40"/>
      <c r="D49" s="39">
        <f>IFERROR(VLOOKUP(A49,[1]!Tabla8[#Data],3,FALSE),0)</f>
        <v>382109.06042666658</v>
      </c>
      <c r="E49" s="21">
        <f t="shared" si="1"/>
        <v>0</v>
      </c>
      <c r="F49" s="281"/>
    </row>
    <row r="50" spans="1:6" x14ac:dyDescent="0.35">
      <c r="A50" s="287">
        <v>3</v>
      </c>
      <c r="B50" s="287"/>
      <c r="C50" s="287"/>
      <c r="D50" s="287"/>
      <c r="E50" s="287"/>
      <c r="F50" s="42">
        <f>SUM(E42:E49)</f>
        <v>0</v>
      </c>
    </row>
    <row r="51" spans="1:6" x14ac:dyDescent="0.35">
      <c r="A51" s="33" t="s">
        <v>279</v>
      </c>
      <c r="B51" s="34" t="s">
        <v>83</v>
      </c>
      <c r="C51" s="35" t="s">
        <v>84</v>
      </c>
      <c r="D51" s="36" t="s">
        <v>269</v>
      </c>
      <c r="E51" s="37" t="s">
        <v>86</v>
      </c>
      <c r="F51" s="283"/>
    </row>
    <row r="52" spans="1:6" x14ac:dyDescent="0.35">
      <c r="A52" s="108" t="s">
        <v>240</v>
      </c>
      <c r="B52" s="108">
        <v>1</v>
      </c>
      <c r="C52" s="108"/>
      <c r="D52" s="108">
        <f>IFERROR(VLOOKUP(A52,[1]!TablaTransporte[#Data],2,FALSE),0)</f>
        <v>550000</v>
      </c>
      <c r="E52" s="110">
        <f>B52*C52*D52</f>
        <v>0</v>
      </c>
      <c r="F52" s="284"/>
    </row>
    <row r="53" spans="1:6" x14ac:dyDescent="0.35">
      <c r="A53" s="108" t="s">
        <v>241</v>
      </c>
      <c r="B53" s="108">
        <v>1</v>
      </c>
      <c r="C53" s="108">
        <v>57</v>
      </c>
      <c r="D53" s="108">
        <f>IFERROR(VLOOKUP(A53,[1]!TablaTransporte[#Data],2,FALSE),0)</f>
        <v>65000</v>
      </c>
      <c r="E53" s="108">
        <f>B53*C53*D53</f>
        <v>3705000</v>
      </c>
      <c r="F53" s="284"/>
    </row>
    <row r="54" spans="1:6" x14ac:dyDescent="0.35">
      <c r="A54" s="41"/>
      <c r="B54" s="41"/>
      <c r="C54" s="41"/>
      <c r="D54" s="41">
        <f>IFERROR(VLOOKUP(A54,[1]!TablaTransporte[#Data],2,FALSE),0)</f>
        <v>0</v>
      </c>
      <c r="E54" s="41"/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5"/>
    </row>
    <row r="56" spans="1:6" x14ac:dyDescent="0.35">
      <c r="A56" s="43"/>
      <c r="B56" s="43"/>
      <c r="C56" s="43"/>
      <c r="D56" s="43"/>
      <c r="E56" s="43"/>
      <c r="F56" s="42">
        <f>E53</f>
        <v>3705000</v>
      </c>
    </row>
    <row r="57" spans="1:6" x14ac:dyDescent="0.35">
      <c r="A57" s="288"/>
      <c r="B57" s="289"/>
      <c r="C57" s="289"/>
      <c r="D57" s="289"/>
      <c r="E57" s="290"/>
      <c r="F57" s="42">
        <f>F21+F40+F50+F56</f>
        <v>4607400</v>
      </c>
    </row>
    <row r="58" spans="1:6" ht="15" thickBot="1" x14ac:dyDescent="0.4">
      <c r="A58" s="291">
        <v>0.15</v>
      </c>
      <c r="B58" s="292"/>
      <c r="C58" s="292"/>
      <c r="D58" s="292"/>
      <c r="E58" s="293"/>
      <c r="F58" s="44">
        <f>F57*A58</f>
        <v>691110</v>
      </c>
    </row>
    <row r="59" spans="1:6" ht="15" thickBot="1" x14ac:dyDescent="0.4">
      <c r="A59" s="299"/>
      <c r="B59" s="300"/>
      <c r="C59" s="300"/>
      <c r="D59" s="300"/>
      <c r="E59" s="301"/>
      <c r="F59" s="28">
        <f>F57+F58</f>
        <v>5298510</v>
      </c>
    </row>
    <row r="60" spans="1:6" ht="15" thickBot="1" x14ac:dyDescent="0.4">
      <c r="A60" s="302">
        <v>0.1</v>
      </c>
      <c r="B60" s="300"/>
      <c r="C60" s="300"/>
      <c r="D60" s="300"/>
      <c r="E60" s="301"/>
      <c r="F60" s="28">
        <f>F59*A60</f>
        <v>529851</v>
      </c>
    </row>
    <row r="61" spans="1:6" ht="15" thickBot="1" x14ac:dyDescent="0.4">
      <c r="A61" s="286"/>
      <c r="B61" s="286"/>
      <c r="C61" s="286"/>
      <c r="D61" s="286"/>
      <c r="E61" s="286"/>
      <c r="F61" s="28">
        <f>F59+F60</f>
        <v>5828361</v>
      </c>
    </row>
    <row r="62" spans="1:6" x14ac:dyDescent="0.35">
      <c r="F62" s="80">
        <f>F61/F3</f>
        <v>28020.966346153848</v>
      </c>
    </row>
  </sheetData>
  <mergeCells count="13">
    <mergeCell ref="A59:E59"/>
    <mergeCell ref="A60:E60"/>
    <mergeCell ref="A61:E61"/>
    <mergeCell ref="F41:F49"/>
    <mergeCell ref="A50:E50"/>
    <mergeCell ref="F51:F55"/>
    <mergeCell ref="A57:E57"/>
    <mergeCell ref="A58:E58"/>
    <mergeCell ref="A40:E40"/>
    <mergeCell ref="A1:F1"/>
    <mergeCell ref="F4:F20"/>
    <mergeCell ref="A21:E21"/>
    <mergeCell ref="F22:F39"/>
  </mergeCells>
  <dataValidations count="4">
    <dataValidation type="list" allowBlank="1" showInputMessage="1" showErrorMessage="1" sqref="A23:A40" xr:uid="{F649FED5-4058-4331-972E-3E979EC16B3D}">
      <formula1>ListaMateriales</formula1>
    </dataValidation>
    <dataValidation type="list" allowBlank="1" showInputMessage="1" showErrorMessage="1" sqref="A53:A55" xr:uid="{17030955-3FEC-4595-8DE7-66751EA40A77}">
      <formula1>ListaTransporte</formula1>
    </dataValidation>
    <dataValidation type="list" allowBlank="1" showInputMessage="1" showErrorMessage="1" sqref="A42:A49" xr:uid="{02C3D5C0-4BC0-4BED-A989-C1A7AC45D8A1}">
      <formula1>ListaProfesiones</formula1>
    </dataValidation>
    <dataValidation type="list" allowBlank="1" showInputMessage="1" showErrorMessage="1" sqref="A4:A21" xr:uid="{B57E122D-7C67-42E0-82A0-6FFF1530DBD5}">
      <formula1>ListaEquipos</formula1>
    </dataValidation>
  </dataValidation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54DE5-5093-4FF2-8602-2C5344A229A3}">
  <dimension ref="A1:I34"/>
  <sheetViews>
    <sheetView workbookViewId="0">
      <selection activeCell="C7" sqref="C7"/>
    </sheetView>
  </sheetViews>
  <sheetFormatPr baseColWidth="10" defaultRowHeight="14.5" x14ac:dyDescent="0.35"/>
  <cols>
    <col min="1" max="1" width="15.36328125" bestFit="1" customWidth="1"/>
    <col min="2" max="2" width="6.6328125" bestFit="1" customWidth="1"/>
    <col min="3" max="3" width="10.08984375" bestFit="1" customWidth="1"/>
    <col min="4" max="9" width="11.6328125" bestFit="1" customWidth="1"/>
  </cols>
  <sheetData>
    <row r="1" spans="1:9" x14ac:dyDescent="0.35">
      <c r="A1" s="364" t="s">
        <v>156</v>
      </c>
      <c r="B1" s="364"/>
      <c r="C1" s="364"/>
      <c r="D1" s="364"/>
      <c r="E1" s="364"/>
      <c r="F1" s="364"/>
      <c r="G1" s="364"/>
      <c r="H1" s="364"/>
      <c r="I1" s="364"/>
    </row>
    <row r="2" spans="1:9" x14ac:dyDescent="0.35">
      <c r="A2" s="62" t="s">
        <v>129</v>
      </c>
      <c r="B2" s="62" t="s">
        <v>87</v>
      </c>
      <c r="C2" s="62" t="s">
        <v>130</v>
      </c>
      <c r="D2" s="69">
        <v>6</v>
      </c>
      <c r="E2" s="69">
        <v>5</v>
      </c>
      <c r="F2" s="69">
        <v>4</v>
      </c>
      <c r="G2" s="69">
        <v>3</v>
      </c>
      <c r="H2" s="69">
        <v>2</v>
      </c>
      <c r="I2" s="69">
        <v>1</v>
      </c>
    </row>
    <row r="3" spans="1:9" x14ac:dyDescent="0.35">
      <c r="A3" s="62" t="s">
        <v>131</v>
      </c>
      <c r="B3" s="62" t="s">
        <v>87</v>
      </c>
      <c r="C3" s="66">
        <v>400000</v>
      </c>
      <c r="D3" s="66">
        <f t="shared" ref="D3:I3" si="0">$C$3*3</f>
        <v>1200000</v>
      </c>
      <c r="E3" s="66">
        <f t="shared" si="0"/>
        <v>1200000</v>
      </c>
      <c r="F3" s="66">
        <f t="shared" si="0"/>
        <v>1200000</v>
      </c>
      <c r="G3" s="66">
        <f t="shared" si="0"/>
        <v>1200000</v>
      </c>
      <c r="H3" s="66">
        <f t="shared" si="0"/>
        <v>1200000</v>
      </c>
      <c r="I3" s="66">
        <f t="shared" si="0"/>
        <v>1200000</v>
      </c>
    </row>
    <row r="4" spans="1:9" x14ac:dyDescent="0.35">
      <c r="A4" s="62" t="s">
        <v>132</v>
      </c>
      <c r="B4" s="62"/>
      <c r="C4" s="66">
        <v>55000</v>
      </c>
      <c r="D4" s="66">
        <f t="shared" ref="D4:I4" si="1">$C$4*1</f>
        <v>55000</v>
      </c>
      <c r="E4" s="66">
        <f t="shared" si="1"/>
        <v>55000</v>
      </c>
      <c r="F4" s="66">
        <f t="shared" si="1"/>
        <v>55000</v>
      </c>
      <c r="G4" s="66">
        <f t="shared" si="1"/>
        <v>55000</v>
      </c>
      <c r="H4" s="66">
        <f t="shared" si="1"/>
        <v>55000</v>
      </c>
      <c r="I4" s="66">
        <f t="shared" si="1"/>
        <v>55000</v>
      </c>
    </row>
    <row r="5" spans="1:9" x14ac:dyDescent="0.35">
      <c r="A5" s="62" t="s">
        <v>133</v>
      </c>
      <c r="B5" s="62"/>
      <c r="C5" s="66">
        <v>55000</v>
      </c>
      <c r="D5" s="66">
        <f t="shared" ref="D5:I5" si="2">$C$5*1</f>
        <v>55000</v>
      </c>
      <c r="E5" s="66">
        <f t="shared" si="2"/>
        <v>55000</v>
      </c>
      <c r="F5" s="66">
        <f t="shared" si="2"/>
        <v>55000</v>
      </c>
      <c r="G5" s="66">
        <f t="shared" si="2"/>
        <v>55000</v>
      </c>
      <c r="H5" s="66">
        <f t="shared" si="2"/>
        <v>55000</v>
      </c>
      <c r="I5" s="66">
        <f t="shared" si="2"/>
        <v>55000</v>
      </c>
    </row>
    <row r="6" spans="1:9" ht="29" x14ac:dyDescent="0.35">
      <c r="A6" s="68" t="s">
        <v>134</v>
      </c>
      <c r="B6" s="62"/>
      <c r="C6" s="66">
        <v>65000</v>
      </c>
      <c r="H6" s="62"/>
      <c r="I6" s="62"/>
    </row>
    <row r="7" spans="1:9" ht="29" x14ac:dyDescent="0.35">
      <c r="A7" s="68" t="s">
        <v>135</v>
      </c>
      <c r="B7" s="62"/>
      <c r="C7" s="66">
        <v>65000</v>
      </c>
      <c r="D7" s="66">
        <f>C6*2</f>
        <v>130000</v>
      </c>
      <c r="E7" s="66">
        <f>C6*2</f>
        <v>130000</v>
      </c>
      <c r="F7" s="67">
        <f>C6*2</f>
        <v>130000</v>
      </c>
      <c r="G7" s="67">
        <f>C6*2</f>
        <v>130000</v>
      </c>
      <c r="H7" s="67">
        <f>C7*2</f>
        <v>130000</v>
      </c>
      <c r="I7" s="67">
        <f>C7*2</f>
        <v>130000</v>
      </c>
    </row>
    <row r="8" spans="1:9" x14ac:dyDescent="0.35">
      <c r="A8" s="62" t="s">
        <v>136</v>
      </c>
      <c r="B8" s="62"/>
      <c r="C8" s="66">
        <v>15000</v>
      </c>
      <c r="D8" s="66">
        <f>C8*3</f>
        <v>45000</v>
      </c>
      <c r="E8" s="66">
        <f>C8*3</f>
        <v>45000</v>
      </c>
      <c r="F8" s="67">
        <f>C8*3</f>
        <v>45000</v>
      </c>
      <c r="G8" s="67">
        <f>C8*3</f>
        <v>45000</v>
      </c>
      <c r="H8" s="67">
        <f>C8*3</f>
        <v>45000</v>
      </c>
      <c r="I8" s="67">
        <f>C8*3</f>
        <v>45000</v>
      </c>
    </row>
    <row r="9" spans="1:9" x14ac:dyDescent="0.35">
      <c r="A9" s="62" t="s">
        <v>137</v>
      </c>
      <c r="B9" s="62"/>
      <c r="C9" s="66">
        <v>1500</v>
      </c>
      <c r="D9" s="66">
        <f>C9*120</f>
        <v>180000</v>
      </c>
      <c r="E9" s="66">
        <f>C9*50</f>
        <v>75000</v>
      </c>
      <c r="F9" s="67">
        <f>C9*50</f>
        <v>75000</v>
      </c>
      <c r="G9" s="67">
        <f>C9*200</f>
        <v>300000</v>
      </c>
      <c r="H9" s="67">
        <f>C9*200</f>
        <v>300000</v>
      </c>
      <c r="I9" s="67">
        <f>C9*200</f>
        <v>300000</v>
      </c>
    </row>
    <row r="10" spans="1:9" ht="29" x14ac:dyDescent="0.35">
      <c r="A10" s="68" t="s">
        <v>138</v>
      </c>
      <c r="B10" s="62"/>
      <c r="C10" s="66">
        <v>35000</v>
      </c>
      <c r="D10" s="66">
        <f>C10*3</f>
        <v>105000</v>
      </c>
      <c r="E10" s="66">
        <f>C10*3</f>
        <v>105000</v>
      </c>
      <c r="F10" s="67">
        <f>C10*3</f>
        <v>105000</v>
      </c>
      <c r="G10" s="67">
        <f>35000*3</f>
        <v>105000</v>
      </c>
      <c r="H10" s="67">
        <f>C10*3</f>
        <v>105000</v>
      </c>
      <c r="I10" s="67">
        <f>C10*3</f>
        <v>105000</v>
      </c>
    </row>
    <row r="11" spans="1:9" ht="29" x14ac:dyDescent="0.35">
      <c r="A11" s="68" t="s">
        <v>139</v>
      </c>
      <c r="B11" s="62"/>
      <c r="C11" s="66">
        <v>15000</v>
      </c>
      <c r="D11" s="66">
        <f>C11*6</f>
        <v>90000</v>
      </c>
      <c r="E11" s="66">
        <f>C11*6</f>
        <v>90000</v>
      </c>
      <c r="F11" s="67">
        <f>C11*6</f>
        <v>90000</v>
      </c>
      <c r="G11" s="67">
        <f>C11*7</f>
        <v>105000</v>
      </c>
      <c r="H11" s="67">
        <f>C11*7</f>
        <v>105000</v>
      </c>
      <c r="I11" s="67">
        <f>C11*7</f>
        <v>105000</v>
      </c>
    </row>
    <row r="12" spans="1:9" x14ac:dyDescent="0.35">
      <c r="A12" s="62" t="s">
        <v>140</v>
      </c>
      <c r="B12" s="62"/>
      <c r="C12" s="66">
        <v>75000</v>
      </c>
      <c r="D12" s="66">
        <f>C12</f>
        <v>75000</v>
      </c>
      <c r="E12" s="66">
        <f>C12</f>
        <v>75000</v>
      </c>
      <c r="F12" s="67">
        <f>C12</f>
        <v>75000</v>
      </c>
      <c r="G12" s="67">
        <f>C12</f>
        <v>75000</v>
      </c>
      <c r="H12" s="67">
        <f>C12</f>
        <v>75000</v>
      </c>
      <c r="I12" s="67">
        <f>C12</f>
        <v>75000</v>
      </c>
    </row>
    <row r="13" spans="1:9" x14ac:dyDescent="0.35">
      <c r="A13" s="62" t="s">
        <v>141</v>
      </c>
      <c r="B13" s="62"/>
      <c r="C13" s="66">
        <v>75000</v>
      </c>
      <c r="D13" s="66">
        <f>C13</f>
        <v>75000</v>
      </c>
      <c r="E13" s="66">
        <f>C13</f>
        <v>75000</v>
      </c>
      <c r="F13" s="67">
        <f>C13</f>
        <v>75000</v>
      </c>
      <c r="G13" s="67">
        <f>C13*2</f>
        <v>150000</v>
      </c>
      <c r="H13" s="67">
        <f>C13*2</f>
        <v>150000</v>
      </c>
      <c r="I13" s="67">
        <f>C13*2</f>
        <v>150000</v>
      </c>
    </row>
    <row r="14" spans="1:9" ht="29" x14ac:dyDescent="0.35">
      <c r="A14" s="68" t="s">
        <v>157</v>
      </c>
      <c r="B14" s="62"/>
      <c r="C14" s="66">
        <v>4000</v>
      </c>
      <c r="D14" s="66">
        <f>C14*20</f>
        <v>80000</v>
      </c>
      <c r="E14" s="66">
        <f>C14*10</f>
        <v>40000</v>
      </c>
      <c r="F14" s="67">
        <f>C14*10</f>
        <v>40000</v>
      </c>
      <c r="G14" s="67">
        <f>C14*100</f>
        <v>400000</v>
      </c>
      <c r="H14" s="67">
        <f>C14*120</f>
        <v>480000</v>
      </c>
      <c r="I14" s="67">
        <f>C14*120</f>
        <v>480000</v>
      </c>
    </row>
    <row r="15" spans="1:9" ht="29.5" customHeight="1" x14ac:dyDescent="0.35">
      <c r="A15" s="68" t="s">
        <v>142</v>
      </c>
      <c r="B15" s="62"/>
      <c r="C15" s="66">
        <v>7500</v>
      </c>
      <c r="D15" s="66">
        <f>C15*8</f>
        <v>60000</v>
      </c>
      <c r="E15" s="66">
        <f>C15*6</f>
        <v>45000</v>
      </c>
      <c r="F15" s="67">
        <f>C15*8</f>
        <v>60000</v>
      </c>
      <c r="G15" s="67">
        <f>C15*16</f>
        <v>120000</v>
      </c>
      <c r="H15" s="67">
        <f>C15*16</f>
        <v>120000</v>
      </c>
      <c r="I15" s="67">
        <f>C15*16</f>
        <v>120000</v>
      </c>
    </row>
    <row r="16" spans="1:9" ht="29" x14ac:dyDescent="0.35">
      <c r="A16" s="68" t="s">
        <v>143</v>
      </c>
      <c r="B16" s="62"/>
      <c r="C16" s="66">
        <v>45000</v>
      </c>
      <c r="D16" s="66">
        <f>C16</f>
        <v>45000</v>
      </c>
      <c r="E16" s="66"/>
      <c r="F16" s="67"/>
      <c r="G16" s="62"/>
      <c r="H16" s="62"/>
      <c r="I16" s="62"/>
    </row>
    <row r="17" spans="1:9" x14ac:dyDescent="0.35">
      <c r="A17" s="68" t="s">
        <v>144</v>
      </c>
      <c r="B17" s="62"/>
      <c r="C17" s="66">
        <v>15000</v>
      </c>
      <c r="D17" s="66"/>
      <c r="E17" s="66">
        <f>C17</f>
        <v>15000</v>
      </c>
      <c r="F17" s="67"/>
      <c r="G17" s="67">
        <f>C17*16</f>
        <v>240000</v>
      </c>
      <c r="H17" s="67">
        <f>C17*16</f>
        <v>240000</v>
      </c>
      <c r="I17" s="67">
        <f>C17*16</f>
        <v>240000</v>
      </c>
    </row>
    <row r="18" spans="1:9" x14ac:dyDescent="0.35">
      <c r="A18" s="68" t="s">
        <v>145</v>
      </c>
      <c r="B18" s="62"/>
      <c r="C18" s="66">
        <v>6500</v>
      </c>
      <c r="D18" s="66">
        <f>C18*8</f>
        <v>52000</v>
      </c>
      <c r="E18" s="66">
        <f>C18*8</f>
        <v>52000</v>
      </c>
      <c r="F18" s="62"/>
      <c r="G18" s="67">
        <f>C18*16</f>
        <v>104000</v>
      </c>
      <c r="H18" s="67">
        <f>C18*8</f>
        <v>52000</v>
      </c>
      <c r="I18" s="67">
        <f>C18*8</f>
        <v>52000</v>
      </c>
    </row>
    <row r="19" spans="1:9" ht="29" x14ac:dyDescent="0.35">
      <c r="A19" s="68" t="s">
        <v>146</v>
      </c>
      <c r="B19" s="62"/>
      <c r="C19" s="66">
        <v>38700</v>
      </c>
      <c r="D19" s="66"/>
      <c r="E19" s="66"/>
      <c r="F19" s="67"/>
      <c r="G19" s="67">
        <f>C19*4</f>
        <v>154800</v>
      </c>
      <c r="H19" s="67">
        <f>C19*4</f>
        <v>154800</v>
      </c>
      <c r="I19" s="67">
        <f>C19*4</f>
        <v>154800</v>
      </c>
    </row>
    <row r="20" spans="1:9" ht="29" x14ac:dyDescent="0.35">
      <c r="A20" s="68" t="s">
        <v>147</v>
      </c>
      <c r="B20" s="62"/>
      <c r="C20" s="66">
        <v>38700</v>
      </c>
      <c r="D20" s="66"/>
      <c r="E20" s="66"/>
      <c r="F20" s="67"/>
      <c r="G20" s="67">
        <f>C20*4</f>
        <v>154800</v>
      </c>
      <c r="H20" s="67">
        <f>C20*4</f>
        <v>154800</v>
      </c>
      <c r="I20" s="67">
        <f>C20*4</f>
        <v>154800</v>
      </c>
    </row>
    <row r="21" spans="1:9" ht="29" x14ac:dyDescent="0.35">
      <c r="A21" s="68" t="s">
        <v>148</v>
      </c>
      <c r="B21" s="62"/>
      <c r="C21" s="66">
        <v>38700</v>
      </c>
      <c r="D21" s="66"/>
      <c r="E21" s="66"/>
      <c r="F21" s="67"/>
      <c r="G21" s="62"/>
      <c r="H21" s="62"/>
      <c r="I21" s="62"/>
    </row>
    <row r="22" spans="1:9" ht="24.5" customHeight="1" x14ac:dyDescent="0.35">
      <c r="A22" s="68" t="s">
        <v>149</v>
      </c>
      <c r="B22" s="62"/>
      <c r="C22" s="66">
        <v>35000</v>
      </c>
      <c r="D22" s="66"/>
      <c r="E22" s="66"/>
      <c r="F22" s="67">
        <f>C22*4</f>
        <v>140000</v>
      </c>
      <c r="G22" s="67">
        <f>C22*4</f>
        <v>140000</v>
      </c>
      <c r="H22" s="67">
        <f>C22*4</f>
        <v>140000</v>
      </c>
      <c r="I22" s="67">
        <f>C22*4</f>
        <v>140000</v>
      </c>
    </row>
    <row r="23" spans="1:9" ht="29" x14ac:dyDescent="0.35">
      <c r="A23" s="68" t="s">
        <v>150</v>
      </c>
      <c r="B23" s="62"/>
      <c r="C23" s="66">
        <v>280000</v>
      </c>
      <c r="D23" s="66"/>
      <c r="E23" s="66"/>
      <c r="F23" s="67">
        <f>C23*3</f>
        <v>840000</v>
      </c>
      <c r="G23" s="67"/>
      <c r="H23" s="62"/>
      <c r="I23" s="62"/>
    </row>
    <row r="24" spans="1:9" x14ac:dyDescent="0.35">
      <c r="A24" s="68" t="s">
        <v>151</v>
      </c>
      <c r="B24" s="62"/>
      <c r="C24" s="66">
        <v>138500</v>
      </c>
      <c r="D24" s="66"/>
      <c r="E24" s="66"/>
      <c r="F24" s="67"/>
      <c r="G24" s="67">
        <f>C24*3</f>
        <v>415500</v>
      </c>
      <c r="H24" s="67">
        <f>C24*3</f>
        <v>415500</v>
      </c>
      <c r="I24" s="67">
        <f>C24*3</f>
        <v>415500</v>
      </c>
    </row>
    <row r="25" spans="1:9" ht="29" x14ac:dyDescent="0.35">
      <c r="A25" s="68" t="s">
        <v>152</v>
      </c>
      <c r="B25" s="62"/>
      <c r="C25" s="66">
        <v>325000</v>
      </c>
      <c r="D25" s="67">
        <f>C25*2.5</f>
        <v>812500</v>
      </c>
      <c r="E25" s="67">
        <f>C25*2.5</f>
        <v>812500</v>
      </c>
      <c r="F25" s="62"/>
      <c r="G25" s="67"/>
      <c r="H25" s="62"/>
      <c r="I25" s="62"/>
    </row>
    <row r="26" spans="1:9" x14ac:dyDescent="0.35">
      <c r="A26" s="68" t="s">
        <v>153</v>
      </c>
      <c r="B26" s="62"/>
      <c r="C26" s="66">
        <v>85000</v>
      </c>
      <c r="D26" s="67">
        <f>C26*2.5</f>
        <v>212500</v>
      </c>
      <c r="E26" s="67">
        <f>C26*2.5</f>
        <v>212500</v>
      </c>
      <c r="F26" s="67">
        <f>C26*2.5</f>
        <v>212500</v>
      </c>
      <c r="G26" s="67">
        <f>C26*3</f>
        <v>255000</v>
      </c>
      <c r="H26" s="67">
        <f>C26*3</f>
        <v>255000</v>
      </c>
      <c r="I26" s="67">
        <f>C26*3</f>
        <v>255000</v>
      </c>
    </row>
    <row r="27" spans="1:9" ht="29" x14ac:dyDescent="0.35">
      <c r="A27" s="68" t="s">
        <v>154</v>
      </c>
      <c r="B27" s="62"/>
      <c r="C27" s="66">
        <v>70000</v>
      </c>
      <c r="D27" s="67">
        <f>C27*2.5</f>
        <v>175000</v>
      </c>
      <c r="E27" s="67">
        <f>C27*3</f>
        <v>210000</v>
      </c>
      <c r="F27" s="67">
        <f>E27</f>
        <v>210000</v>
      </c>
      <c r="G27" s="67">
        <f>C27*3</f>
        <v>210000</v>
      </c>
      <c r="H27" s="67">
        <f>C27*3</f>
        <v>210000</v>
      </c>
      <c r="I27" s="67">
        <f>C27*3</f>
        <v>210000</v>
      </c>
    </row>
    <row r="28" spans="1:9" x14ac:dyDescent="0.35">
      <c r="A28" s="68" t="s">
        <v>155</v>
      </c>
      <c r="B28" s="62"/>
      <c r="C28" s="66">
        <v>30000</v>
      </c>
      <c r="D28" s="67"/>
      <c r="E28" s="67"/>
      <c r="F28" s="67"/>
      <c r="G28" s="67">
        <f>C28*120</f>
        <v>3600000</v>
      </c>
      <c r="H28" s="67">
        <f>C28*120</f>
        <v>3600000</v>
      </c>
      <c r="I28" s="67">
        <f>C28*120</f>
        <v>3600000</v>
      </c>
    </row>
    <row r="29" spans="1:9" x14ac:dyDescent="0.35">
      <c r="A29" s="68" t="s">
        <v>375</v>
      </c>
      <c r="B29" s="62"/>
      <c r="C29" s="66"/>
      <c r="D29" s="67"/>
      <c r="E29" s="62"/>
      <c r="F29" s="62"/>
      <c r="G29" s="62"/>
      <c r="H29" s="62"/>
      <c r="I29" s="62">
        <v>40000</v>
      </c>
    </row>
    <row r="30" spans="1:9" x14ac:dyDescent="0.35">
      <c r="A30" s="62"/>
      <c r="B30" s="62"/>
      <c r="C30" s="62"/>
      <c r="D30" s="67">
        <f t="shared" ref="D30:I30" si="3">SUM(D3:D29)</f>
        <v>3447000</v>
      </c>
      <c r="E30" s="67">
        <f t="shared" si="3"/>
        <v>3292000</v>
      </c>
      <c r="F30" s="67">
        <f t="shared" si="3"/>
        <v>3407500</v>
      </c>
      <c r="G30" s="67">
        <f t="shared" si="3"/>
        <v>8014100</v>
      </c>
      <c r="H30" s="67">
        <f t="shared" si="3"/>
        <v>8042100</v>
      </c>
      <c r="I30" s="67">
        <f t="shared" si="3"/>
        <v>8082100</v>
      </c>
    </row>
    <row r="31" spans="1:9" x14ac:dyDescent="0.35">
      <c r="A31" s="62"/>
      <c r="B31" s="62"/>
      <c r="C31" s="62"/>
      <c r="D31" s="67">
        <f t="shared" ref="D31:I31" si="4">D30/240</f>
        <v>14362.5</v>
      </c>
      <c r="E31" s="67">
        <f t="shared" si="4"/>
        <v>13716.666666666666</v>
      </c>
      <c r="F31" s="67">
        <f t="shared" si="4"/>
        <v>14197.916666666666</v>
      </c>
      <c r="G31" s="67">
        <f t="shared" si="4"/>
        <v>33392.083333333336</v>
      </c>
      <c r="H31" s="67">
        <f t="shared" si="4"/>
        <v>33508.75</v>
      </c>
      <c r="I31" s="67">
        <f t="shared" si="4"/>
        <v>33675.416666666664</v>
      </c>
    </row>
    <row r="32" spans="1:9" x14ac:dyDescent="0.35">
      <c r="A32" s="62"/>
      <c r="B32" s="62"/>
      <c r="C32" s="62"/>
      <c r="D32" s="62">
        <v>6</v>
      </c>
      <c r="E32" s="62">
        <v>5</v>
      </c>
      <c r="F32" s="62">
        <v>4</v>
      </c>
      <c r="G32" s="62">
        <v>3</v>
      </c>
      <c r="H32" s="62">
        <v>2</v>
      </c>
      <c r="I32" s="62">
        <v>1</v>
      </c>
    </row>
    <row r="33" spans="1:9" x14ac:dyDescent="0.35">
      <c r="A33" s="62"/>
      <c r="B33" s="62"/>
      <c r="C33" s="62"/>
      <c r="D33" s="62"/>
      <c r="E33" s="62"/>
      <c r="F33" s="62"/>
      <c r="G33" s="62"/>
      <c r="H33" s="62"/>
      <c r="I33" s="62"/>
    </row>
    <row r="34" spans="1:9" x14ac:dyDescent="0.35">
      <c r="A34" s="62"/>
      <c r="B34" s="62"/>
      <c r="C34" s="62"/>
      <c r="D34" s="62"/>
      <c r="E34" s="62"/>
      <c r="F34" s="62"/>
      <c r="G34" s="62"/>
      <c r="H34" s="62"/>
      <c r="I34" s="62"/>
    </row>
  </sheetData>
  <mergeCells count="1">
    <mergeCell ref="A1:I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4ABB-EB1E-4B91-86F2-93F596E03519}">
  <dimension ref="A1:AT11"/>
  <sheetViews>
    <sheetView topLeftCell="E2" workbookViewId="0">
      <selection activeCell="AJ14" sqref="AJ14"/>
    </sheetView>
  </sheetViews>
  <sheetFormatPr baseColWidth="10" defaultRowHeight="14.5" x14ac:dyDescent="0.35"/>
  <cols>
    <col min="1" max="1" width="5.54296875" bestFit="1" customWidth="1"/>
    <col min="2" max="2" width="6.26953125" bestFit="1" customWidth="1"/>
    <col min="3" max="3" width="7.36328125" bestFit="1" customWidth="1"/>
    <col min="4" max="4" width="7.08984375" bestFit="1" customWidth="1"/>
    <col min="5" max="5" width="6.26953125" bestFit="1" customWidth="1"/>
    <col min="6" max="6" width="6.54296875" bestFit="1" customWidth="1"/>
    <col min="7" max="7" width="5.54296875" bestFit="1" customWidth="1"/>
    <col min="8" max="8" width="6" bestFit="1" customWidth="1"/>
    <col min="9" max="9" width="5.54296875" bestFit="1" customWidth="1"/>
    <col min="10" max="10" width="6" customWidth="1"/>
    <col min="11" max="11" width="6.54296875" bestFit="1" customWidth="1"/>
    <col min="12" max="12" width="4.81640625" bestFit="1" customWidth="1"/>
    <col min="13" max="13" width="6.54296875" bestFit="1" customWidth="1"/>
    <col min="14" max="14" width="5.54296875" bestFit="1" customWidth="1"/>
    <col min="15" max="15" width="7.08984375" bestFit="1" customWidth="1"/>
    <col min="16" max="16" width="6.08984375" bestFit="1" customWidth="1"/>
    <col min="17" max="17" width="4.81640625" bestFit="1" customWidth="1"/>
    <col min="18" max="18" width="9.7265625" bestFit="1" customWidth="1"/>
    <col min="19" max="19" width="5.54296875" customWidth="1"/>
    <col min="20" max="20" width="5.6328125" bestFit="1" customWidth="1"/>
    <col min="21" max="21" width="5.36328125" bestFit="1" customWidth="1"/>
    <col min="22" max="22" width="5.08984375" bestFit="1" customWidth="1"/>
    <col min="23" max="23" width="7.36328125" bestFit="1" customWidth="1"/>
    <col min="24" max="24" width="6.36328125" bestFit="1" customWidth="1"/>
    <col min="25" max="25" width="2.6328125" customWidth="1"/>
    <col min="26" max="26" width="3.453125" bestFit="1" customWidth="1"/>
    <col min="27" max="27" width="6.7265625" bestFit="1" customWidth="1"/>
    <col min="28" max="28" width="4.26953125" bestFit="1" customWidth="1"/>
    <col min="29" max="29" width="7.36328125" bestFit="1" customWidth="1"/>
    <col min="30" max="30" width="7.90625" bestFit="1" customWidth="1"/>
    <col min="31" max="31" width="8.08984375" bestFit="1" customWidth="1"/>
    <col min="32" max="32" width="8.81640625" bestFit="1" customWidth="1"/>
    <col min="33" max="33" width="7.36328125" bestFit="1" customWidth="1"/>
    <col min="34" max="34" width="8.81640625" bestFit="1" customWidth="1"/>
    <col min="35" max="35" width="7.36328125" bestFit="1" customWidth="1"/>
    <col min="36" max="36" width="8.1796875" bestFit="1" customWidth="1"/>
    <col min="37" max="37" width="6.26953125" bestFit="1" customWidth="1"/>
    <col min="38" max="38" width="6.26953125" customWidth="1"/>
    <col min="39" max="39" width="6.81640625" customWidth="1"/>
    <col min="40" max="40" width="7.36328125" bestFit="1" customWidth="1"/>
    <col min="41" max="41" width="9.6328125" bestFit="1" customWidth="1"/>
    <col min="42" max="42" width="4.81640625" bestFit="1" customWidth="1"/>
    <col min="43" max="43" width="7.6328125" bestFit="1" customWidth="1"/>
    <col min="44" max="44" width="8.81640625" bestFit="1" customWidth="1"/>
    <col min="45" max="45" width="6.26953125" bestFit="1" customWidth="1"/>
    <col min="46" max="46" width="2.26953125" bestFit="1" customWidth="1"/>
  </cols>
  <sheetData>
    <row r="1" spans="1:46" x14ac:dyDescent="0.35">
      <c r="A1" s="365" t="s">
        <v>119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64"/>
    </row>
    <row r="2" spans="1:46" x14ac:dyDescent="0.35">
      <c r="A2" s="366"/>
      <c r="B2" s="366"/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64"/>
    </row>
    <row r="3" spans="1:46" ht="43" x14ac:dyDescent="0.35">
      <c r="A3" s="57" t="s">
        <v>90</v>
      </c>
      <c r="B3" s="57" t="s">
        <v>91</v>
      </c>
      <c r="C3" s="58" t="s">
        <v>92</v>
      </c>
      <c r="D3" s="58" t="s">
        <v>93</v>
      </c>
      <c r="E3" s="57" t="s">
        <v>126</v>
      </c>
      <c r="F3" s="57" t="s">
        <v>94</v>
      </c>
      <c r="G3" s="57" t="s">
        <v>95</v>
      </c>
      <c r="H3" s="57" t="s">
        <v>96</v>
      </c>
      <c r="I3" s="57" t="s">
        <v>97</v>
      </c>
      <c r="J3" s="58" t="s">
        <v>98</v>
      </c>
      <c r="K3" s="58" t="s">
        <v>99</v>
      </c>
      <c r="L3" s="57" t="s">
        <v>100</v>
      </c>
      <c r="M3" s="58" t="s">
        <v>127</v>
      </c>
      <c r="N3" s="57" t="s">
        <v>101</v>
      </c>
      <c r="O3" s="58" t="s">
        <v>93</v>
      </c>
      <c r="P3" s="56" t="s">
        <v>102</v>
      </c>
      <c r="Q3" s="59" t="s">
        <v>103</v>
      </c>
      <c r="R3" s="57" t="s">
        <v>104</v>
      </c>
      <c r="S3" s="49"/>
      <c r="T3" s="49" t="s">
        <v>105</v>
      </c>
      <c r="U3" s="49" t="s">
        <v>106</v>
      </c>
      <c r="V3" s="49" t="s">
        <v>107</v>
      </c>
      <c r="W3" s="57" t="s">
        <v>93</v>
      </c>
      <c r="X3" s="57" t="s">
        <v>108</v>
      </c>
      <c r="Y3" s="57" t="s">
        <v>107</v>
      </c>
      <c r="Z3" s="57"/>
      <c r="AA3" s="57" t="s">
        <v>128</v>
      </c>
      <c r="AB3" s="50" t="s">
        <v>107</v>
      </c>
      <c r="AC3" s="50" t="s">
        <v>93</v>
      </c>
      <c r="AD3" s="57" t="s">
        <v>109</v>
      </c>
      <c r="AE3" s="57" t="s">
        <v>110</v>
      </c>
      <c r="AF3" s="57" t="s">
        <v>93</v>
      </c>
      <c r="AG3" s="57" t="s">
        <v>111</v>
      </c>
      <c r="AH3" s="57" t="s">
        <v>93</v>
      </c>
      <c r="AI3" s="57" t="s">
        <v>92</v>
      </c>
      <c r="AJ3" s="60" t="s">
        <v>112</v>
      </c>
      <c r="AK3" s="58" t="s">
        <v>113</v>
      </c>
      <c r="AL3" s="50" t="s">
        <v>291</v>
      </c>
      <c r="AM3" s="50" t="s">
        <v>292</v>
      </c>
      <c r="AN3" s="51" t="s">
        <v>114</v>
      </c>
      <c r="AO3" s="51" t="s">
        <v>115</v>
      </c>
      <c r="AP3" s="51" t="s">
        <v>116</v>
      </c>
      <c r="AQ3" s="50" t="s">
        <v>117</v>
      </c>
      <c r="AR3" s="57" t="s">
        <v>93</v>
      </c>
      <c r="AS3" s="58" t="s">
        <v>118</v>
      </c>
      <c r="AT3" s="64"/>
    </row>
    <row r="4" spans="1:46" ht="14.5" customHeight="1" x14ac:dyDescent="0.35">
      <c r="A4" s="48" t="s">
        <v>120</v>
      </c>
      <c r="B4" s="52">
        <v>203065</v>
      </c>
      <c r="C4" s="52">
        <v>8303</v>
      </c>
      <c r="D4" s="52">
        <f t="shared" ref="D4:D9" si="0">B4+C4</f>
        <v>211368</v>
      </c>
      <c r="E4" s="52">
        <f t="shared" ref="E4:E9" si="1">D4*8.34%</f>
        <v>17628.091199999999</v>
      </c>
      <c r="F4" s="52">
        <f t="shared" ref="F4:F9" si="2">E4*12/360</f>
        <v>587.60303999999996</v>
      </c>
      <c r="G4" s="52">
        <f t="shared" ref="G4:G9" si="3">D4*8.34%</f>
        <v>17628.091199999999</v>
      </c>
      <c r="H4" s="52">
        <f t="shared" ref="H4:H9" si="4">D4*4.17%</f>
        <v>8814.0455999999995</v>
      </c>
      <c r="I4" s="52">
        <f t="shared" ref="I4:I9" si="5">D4*6.96%</f>
        <v>14711.212799999999</v>
      </c>
      <c r="J4" s="52">
        <f t="shared" ref="J4:J9" si="6">D4*3%</f>
        <v>6341.04</v>
      </c>
      <c r="K4" s="52">
        <f t="shared" ref="K4:K9" si="7">D4*2%</f>
        <v>4227.3599999999997</v>
      </c>
      <c r="L4" s="52">
        <f t="shared" ref="L4:L9" si="8">D4*4%</f>
        <v>8454.7199999999993</v>
      </c>
      <c r="M4" s="52">
        <f t="shared" ref="M4:M9" si="9">D4*12.5%</f>
        <v>26421</v>
      </c>
      <c r="N4" s="52">
        <f t="shared" ref="N4:N9" si="10">D4*16%</f>
        <v>33818.879999999997</v>
      </c>
      <c r="O4" s="52">
        <f t="shared" ref="O4:O9" si="11">D4+E4+F4+G4+H4+I4+J4+K4+L4+M4+N4</f>
        <v>350000.04383999994</v>
      </c>
      <c r="P4" s="73">
        <v>1</v>
      </c>
      <c r="Q4" s="54">
        <v>240</v>
      </c>
      <c r="R4" s="52">
        <f t="shared" ref="R4:R9" si="12">O4*P4*Q4</f>
        <v>84000010.521599978</v>
      </c>
      <c r="S4" s="48" t="s">
        <v>120</v>
      </c>
      <c r="T4" s="52">
        <f t="shared" ref="T4:T9" si="13">B4/7</f>
        <v>29009.285714285714</v>
      </c>
      <c r="U4" s="61">
        <f t="shared" ref="U4:U9" si="14">T4*25%+T4</f>
        <v>36261.607142857145</v>
      </c>
      <c r="V4" s="52">
        <v>56</v>
      </c>
      <c r="W4" s="52">
        <f t="shared" ref="W4:W9" si="15">U4*V4</f>
        <v>2030650</v>
      </c>
      <c r="X4" s="52">
        <f t="shared" ref="X4:X9" si="16">T4*75%+T4</f>
        <v>50766.25</v>
      </c>
      <c r="Y4" s="52"/>
      <c r="Z4" s="52">
        <f t="shared" ref="Z4:Z9" si="17">X4*Y4</f>
        <v>0</v>
      </c>
      <c r="AA4" s="52">
        <f t="shared" ref="AA4:AA9" si="18">T4*190%+T4</f>
        <v>84126.928571428565</v>
      </c>
      <c r="AB4" s="52">
        <v>14</v>
      </c>
      <c r="AC4" s="52">
        <f t="shared" ref="AC4:AC9" si="19">AA4*AB4</f>
        <v>1177777</v>
      </c>
      <c r="AD4" s="52">
        <f t="shared" ref="AD4:AD9" si="20">34812*Q4</f>
        <v>8354880</v>
      </c>
      <c r="AE4" s="52">
        <f>81663*Q4</f>
        <v>19599120</v>
      </c>
      <c r="AF4" s="52">
        <f t="shared" ref="AF4:AF9" si="21">R4+W4+AC4+AD4+AE4</f>
        <v>115162437.52159998</v>
      </c>
      <c r="AG4" s="52">
        <f t="shared" ref="AG4:AG9" si="22">(D4*P4*Q4+W4+AC4)*8%</f>
        <v>4314939.76</v>
      </c>
      <c r="AH4" s="52">
        <f t="shared" ref="AH4:AH9" si="23">AF4-AG4</f>
        <v>110847497.76159997</v>
      </c>
      <c r="AI4" s="52"/>
      <c r="AJ4" s="52">
        <f t="shared" ref="AJ4:AJ9" si="24">9000*Q4</f>
        <v>2160000</v>
      </c>
      <c r="AK4" s="55">
        <v>250000</v>
      </c>
      <c r="AL4" s="55">
        <v>270000</v>
      </c>
      <c r="AM4" s="55">
        <v>570000</v>
      </c>
      <c r="AN4" s="55">
        <f>70000*90</f>
        <v>6300000</v>
      </c>
      <c r="AO4" s="65">
        <f>105000*90</f>
        <v>9450000</v>
      </c>
      <c r="AP4" s="55"/>
      <c r="AQ4" s="55">
        <f>dotacion!D30</f>
        <v>3447000</v>
      </c>
      <c r="AR4" s="52">
        <f>AH4+AI4+AJ4+AK4+AL4+AM4+AN4+AO4+AP4+AQ4</f>
        <v>133294497.76159997</v>
      </c>
      <c r="AS4" s="52">
        <f t="shared" ref="AS4:AS9" si="25">AR4/Q4</f>
        <v>555393.74067333317</v>
      </c>
      <c r="AT4" s="53">
        <v>6</v>
      </c>
    </row>
    <row r="5" spans="1:46" ht="13" customHeight="1" x14ac:dyDescent="0.35">
      <c r="A5" s="48" t="s">
        <v>122</v>
      </c>
      <c r="B5" s="52">
        <v>184864</v>
      </c>
      <c r="C5" s="52">
        <v>8303</v>
      </c>
      <c r="D5" s="52">
        <f t="shared" si="0"/>
        <v>193167</v>
      </c>
      <c r="E5" s="52">
        <f t="shared" si="1"/>
        <v>16110.1278</v>
      </c>
      <c r="F5" s="52">
        <f t="shared" si="2"/>
        <v>537.00425999999993</v>
      </c>
      <c r="G5" s="52">
        <f t="shared" si="3"/>
        <v>16110.1278</v>
      </c>
      <c r="H5" s="52">
        <f t="shared" si="4"/>
        <v>8055.0639000000001</v>
      </c>
      <c r="I5" s="52">
        <f t="shared" si="5"/>
        <v>13444.423199999999</v>
      </c>
      <c r="J5" s="52">
        <f t="shared" si="6"/>
        <v>5795.01</v>
      </c>
      <c r="K5" s="52">
        <f t="shared" si="7"/>
        <v>3863.34</v>
      </c>
      <c r="L5" s="52">
        <f t="shared" si="8"/>
        <v>7726.68</v>
      </c>
      <c r="M5" s="52">
        <f t="shared" si="9"/>
        <v>24145.875</v>
      </c>
      <c r="N5" s="52">
        <f t="shared" si="10"/>
        <v>30906.720000000001</v>
      </c>
      <c r="O5" s="52">
        <f t="shared" si="11"/>
        <v>319861.37196000002</v>
      </c>
      <c r="P5" s="73">
        <v>1</v>
      </c>
      <c r="Q5" s="54">
        <v>240</v>
      </c>
      <c r="R5" s="52">
        <f t="shared" si="12"/>
        <v>76766729.270400003</v>
      </c>
      <c r="S5" s="48" t="s">
        <v>122</v>
      </c>
      <c r="T5" s="52">
        <f t="shared" si="13"/>
        <v>26409.142857142859</v>
      </c>
      <c r="U5" s="61">
        <f t="shared" si="14"/>
        <v>33011.428571428572</v>
      </c>
      <c r="V5" s="52">
        <v>56</v>
      </c>
      <c r="W5" s="52">
        <f t="shared" si="15"/>
        <v>1848640</v>
      </c>
      <c r="X5" s="52">
        <f t="shared" si="16"/>
        <v>46216</v>
      </c>
      <c r="Y5" s="52"/>
      <c r="Z5" s="52">
        <f t="shared" si="17"/>
        <v>0</v>
      </c>
      <c r="AA5" s="52">
        <f t="shared" si="18"/>
        <v>76586.514285714293</v>
      </c>
      <c r="AB5" s="52">
        <v>14</v>
      </c>
      <c r="AC5" s="52">
        <f t="shared" si="19"/>
        <v>1072211.2000000002</v>
      </c>
      <c r="AD5" s="52">
        <f t="shared" si="20"/>
        <v>8354880</v>
      </c>
      <c r="AE5" s="52">
        <f>66282*Q5</f>
        <v>15907680</v>
      </c>
      <c r="AF5" s="52">
        <f t="shared" si="21"/>
        <v>103950140.47040001</v>
      </c>
      <c r="AG5" s="52">
        <f t="shared" si="22"/>
        <v>3942474.4960000003</v>
      </c>
      <c r="AH5" s="52">
        <f t="shared" si="23"/>
        <v>100007665.9744</v>
      </c>
      <c r="AI5" s="52"/>
      <c r="AJ5" s="52">
        <f t="shared" si="24"/>
        <v>2160000</v>
      </c>
      <c r="AK5" s="55">
        <v>250000</v>
      </c>
      <c r="AL5" s="55">
        <v>270000</v>
      </c>
      <c r="AM5" s="55">
        <v>570000</v>
      </c>
      <c r="AN5" s="55"/>
      <c r="AO5" s="55"/>
      <c r="AP5" s="55"/>
      <c r="AQ5" s="55">
        <f>dotacion!E30</f>
        <v>3292000</v>
      </c>
      <c r="AR5" s="52">
        <f>AH5+AI5+AJ5++AK5+AL5+AM5+AN5+AO5+AP5+AQ5</f>
        <v>106549665.9744</v>
      </c>
      <c r="AS5" s="52">
        <f t="shared" si="25"/>
        <v>443956.94156000001</v>
      </c>
      <c r="AT5" s="53">
        <v>5</v>
      </c>
    </row>
    <row r="6" spans="1:46" x14ac:dyDescent="0.35">
      <c r="A6" s="48" t="s">
        <v>123</v>
      </c>
      <c r="B6" s="52">
        <v>164879</v>
      </c>
      <c r="C6" s="52">
        <v>8303</v>
      </c>
      <c r="D6" s="52">
        <f t="shared" si="0"/>
        <v>173182</v>
      </c>
      <c r="E6" s="52">
        <f t="shared" si="1"/>
        <v>14443.3788</v>
      </c>
      <c r="F6" s="52">
        <f t="shared" si="2"/>
        <v>481.44596000000001</v>
      </c>
      <c r="G6" s="52">
        <f t="shared" si="3"/>
        <v>14443.3788</v>
      </c>
      <c r="H6" s="52">
        <f t="shared" si="4"/>
        <v>7221.6894000000002</v>
      </c>
      <c r="I6" s="52">
        <f t="shared" si="5"/>
        <v>12053.467199999999</v>
      </c>
      <c r="J6" s="52">
        <f t="shared" si="6"/>
        <v>5195.46</v>
      </c>
      <c r="K6" s="52">
        <f t="shared" si="7"/>
        <v>3463.64</v>
      </c>
      <c r="L6" s="52">
        <f t="shared" si="8"/>
        <v>6927.28</v>
      </c>
      <c r="M6" s="52">
        <f t="shared" si="9"/>
        <v>21647.75</v>
      </c>
      <c r="N6" s="52">
        <f t="shared" si="10"/>
        <v>27709.119999999999</v>
      </c>
      <c r="O6" s="52">
        <f t="shared" si="11"/>
        <v>286768.61016000004</v>
      </c>
      <c r="P6" s="73">
        <v>1</v>
      </c>
      <c r="Q6" s="54">
        <v>240</v>
      </c>
      <c r="R6" s="52">
        <f t="shared" si="12"/>
        <v>68824466.438400015</v>
      </c>
      <c r="S6" s="48" t="s">
        <v>123</v>
      </c>
      <c r="T6" s="52">
        <f t="shared" si="13"/>
        <v>23554.142857142859</v>
      </c>
      <c r="U6" s="61">
        <f t="shared" si="14"/>
        <v>29442.678571428572</v>
      </c>
      <c r="V6" s="52">
        <v>56</v>
      </c>
      <c r="W6" s="52">
        <f t="shared" si="15"/>
        <v>1648790</v>
      </c>
      <c r="X6" s="52">
        <f t="shared" si="16"/>
        <v>41219.75</v>
      </c>
      <c r="Y6" s="52"/>
      <c r="Z6" s="52">
        <f t="shared" si="17"/>
        <v>0</v>
      </c>
      <c r="AA6" s="52">
        <f t="shared" si="18"/>
        <v>68307.014285714293</v>
      </c>
      <c r="AB6" s="52">
        <v>14</v>
      </c>
      <c r="AC6" s="52">
        <f t="shared" si="19"/>
        <v>956298.20000000007</v>
      </c>
      <c r="AD6" s="52">
        <f t="shared" si="20"/>
        <v>8354880</v>
      </c>
      <c r="AE6" s="52">
        <f>61746*Q6</f>
        <v>14819040</v>
      </c>
      <c r="AF6" s="52">
        <f t="shared" si="21"/>
        <v>94603474.638400018</v>
      </c>
      <c r="AG6" s="52">
        <f t="shared" si="22"/>
        <v>3533501.4560000002</v>
      </c>
      <c r="AH6" s="52">
        <f t="shared" si="23"/>
        <v>91069973.182400018</v>
      </c>
      <c r="AI6" s="52"/>
      <c r="AJ6" s="52">
        <f t="shared" si="24"/>
        <v>2160000</v>
      </c>
      <c r="AK6" s="55">
        <v>250000</v>
      </c>
      <c r="AL6" s="55">
        <v>270000</v>
      </c>
      <c r="AM6" s="55">
        <v>570000</v>
      </c>
      <c r="AN6" s="55"/>
      <c r="AO6" s="55"/>
      <c r="AP6" s="55"/>
      <c r="AQ6" s="55">
        <f>dotacion!F30</f>
        <v>3407500</v>
      </c>
      <c r="AR6" s="52">
        <f>AH6+AI6+AJ6+AK6+AL6+AM6+AN6+AO6+AP6+AQ6</f>
        <v>97727473.182400018</v>
      </c>
      <c r="AS6" s="52">
        <f t="shared" si="25"/>
        <v>407197.80492666672</v>
      </c>
      <c r="AT6" s="53">
        <v>4</v>
      </c>
    </row>
    <row r="7" spans="1:46" x14ac:dyDescent="0.35">
      <c r="A7" s="48" t="s">
        <v>124</v>
      </c>
      <c r="B7" s="52">
        <v>139630</v>
      </c>
      <c r="C7" s="52">
        <v>8303</v>
      </c>
      <c r="D7" s="52">
        <f t="shared" si="0"/>
        <v>147933</v>
      </c>
      <c r="E7" s="52">
        <f t="shared" si="1"/>
        <v>12337.6122</v>
      </c>
      <c r="F7" s="52">
        <f t="shared" si="2"/>
        <v>411.25373999999994</v>
      </c>
      <c r="G7" s="52">
        <f t="shared" si="3"/>
        <v>12337.6122</v>
      </c>
      <c r="H7" s="52">
        <f t="shared" si="4"/>
        <v>6168.8060999999998</v>
      </c>
      <c r="I7" s="52">
        <f t="shared" si="5"/>
        <v>10296.136799999998</v>
      </c>
      <c r="J7" s="52">
        <f t="shared" si="6"/>
        <v>4437.99</v>
      </c>
      <c r="K7" s="52">
        <f t="shared" si="7"/>
        <v>2958.66</v>
      </c>
      <c r="L7" s="52">
        <f t="shared" si="8"/>
        <v>5917.32</v>
      </c>
      <c r="M7" s="52">
        <f t="shared" si="9"/>
        <v>18491.625</v>
      </c>
      <c r="N7" s="52">
        <f t="shared" si="10"/>
        <v>23669.279999999999</v>
      </c>
      <c r="O7" s="52">
        <f t="shared" si="11"/>
        <v>244959.29603999999</v>
      </c>
      <c r="P7" s="73">
        <v>1</v>
      </c>
      <c r="Q7" s="54">
        <v>240</v>
      </c>
      <c r="R7" s="52">
        <f t="shared" si="12"/>
        <v>58790231.049599998</v>
      </c>
      <c r="S7" s="48" t="s">
        <v>124</v>
      </c>
      <c r="T7" s="52">
        <f t="shared" si="13"/>
        <v>19947.142857142859</v>
      </c>
      <c r="U7" s="61">
        <f t="shared" si="14"/>
        <v>24933.928571428572</v>
      </c>
      <c r="V7" s="52">
        <v>56</v>
      </c>
      <c r="W7" s="52">
        <f t="shared" si="15"/>
        <v>1396300</v>
      </c>
      <c r="X7" s="52">
        <f t="shared" si="16"/>
        <v>34907.5</v>
      </c>
      <c r="Y7" s="52"/>
      <c r="Z7" s="52">
        <f t="shared" si="17"/>
        <v>0</v>
      </c>
      <c r="AA7" s="52">
        <f t="shared" si="18"/>
        <v>57846.71428571429</v>
      </c>
      <c r="AB7" s="52">
        <v>14</v>
      </c>
      <c r="AC7" s="52">
        <f t="shared" si="19"/>
        <v>809854</v>
      </c>
      <c r="AD7" s="52">
        <f t="shared" si="20"/>
        <v>8354880</v>
      </c>
      <c r="AE7" s="52">
        <f>48244*Q7</f>
        <v>11578560</v>
      </c>
      <c r="AF7" s="52">
        <f t="shared" si="21"/>
        <v>80929825.049600005</v>
      </c>
      <c r="AG7" s="52">
        <f t="shared" si="22"/>
        <v>3016805.92</v>
      </c>
      <c r="AH7" s="52">
        <f t="shared" si="23"/>
        <v>77913019.129600003</v>
      </c>
      <c r="AI7" s="52"/>
      <c r="AJ7" s="52">
        <f t="shared" si="24"/>
        <v>2160000</v>
      </c>
      <c r="AK7" s="55">
        <v>250000</v>
      </c>
      <c r="AL7" s="55">
        <v>270000</v>
      </c>
      <c r="AM7" s="55">
        <v>570000</v>
      </c>
      <c r="AN7" s="55"/>
      <c r="AO7" s="55"/>
      <c r="AP7" s="55"/>
      <c r="AQ7" s="55">
        <f>dotacion!G30</f>
        <v>8014100</v>
      </c>
      <c r="AR7" s="52">
        <f>AH7+AI7+AJ7+AK7+AL7+AM7+AN7+AO7+AP7+AQ7</f>
        <v>89177119.129600003</v>
      </c>
      <c r="AS7" s="52">
        <f t="shared" si="25"/>
        <v>371571.3297066667</v>
      </c>
      <c r="AT7" s="53">
        <v>3</v>
      </c>
    </row>
    <row r="8" spans="1:46" x14ac:dyDescent="0.35">
      <c r="A8" s="48" t="s">
        <v>121</v>
      </c>
      <c r="B8" s="65">
        <v>132707</v>
      </c>
      <c r="C8" s="52">
        <v>8303</v>
      </c>
      <c r="D8" s="52">
        <f t="shared" si="0"/>
        <v>141010</v>
      </c>
      <c r="E8" s="52">
        <f t="shared" si="1"/>
        <v>11760.234</v>
      </c>
      <c r="F8" s="52">
        <f t="shared" si="2"/>
        <v>392.00780000000003</v>
      </c>
      <c r="G8" s="52">
        <f t="shared" si="3"/>
        <v>11760.234</v>
      </c>
      <c r="H8" s="52">
        <f t="shared" si="4"/>
        <v>5880.1170000000002</v>
      </c>
      <c r="I8" s="52">
        <f t="shared" si="5"/>
        <v>9814.2959999999985</v>
      </c>
      <c r="J8" s="52">
        <f t="shared" si="6"/>
        <v>4230.3</v>
      </c>
      <c r="K8" s="52">
        <f t="shared" si="7"/>
        <v>2820.2000000000003</v>
      </c>
      <c r="L8" s="52">
        <f t="shared" si="8"/>
        <v>5640.4000000000005</v>
      </c>
      <c r="M8" s="52">
        <f t="shared" si="9"/>
        <v>17626.25</v>
      </c>
      <c r="N8" s="52">
        <f t="shared" si="10"/>
        <v>22561.600000000002</v>
      </c>
      <c r="O8" s="52">
        <f t="shared" si="11"/>
        <v>233495.63879999999</v>
      </c>
      <c r="P8" s="72">
        <v>1</v>
      </c>
      <c r="Q8" s="54">
        <v>240</v>
      </c>
      <c r="R8" s="52">
        <f t="shared" si="12"/>
        <v>56038953.311999999</v>
      </c>
      <c r="S8" s="48" t="s">
        <v>121</v>
      </c>
      <c r="T8" s="65">
        <f t="shared" si="13"/>
        <v>18958.142857142859</v>
      </c>
      <c r="U8" s="61">
        <f t="shared" si="14"/>
        <v>23697.678571428572</v>
      </c>
      <c r="V8" s="65">
        <v>56</v>
      </c>
      <c r="W8" s="65">
        <f t="shared" si="15"/>
        <v>1327070</v>
      </c>
      <c r="X8" s="65">
        <f t="shared" si="16"/>
        <v>33176.75</v>
      </c>
      <c r="Y8" s="65"/>
      <c r="Z8" s="65">
        <f t="shared" si="17"/>
        <v>0</v>
      </c>
      <c r="AA8" s="65">
        <f t="shared" si="18"/>
        <v>54978.614285714284</v>
      </c>
      <c r="AB8" s="65">
        <v>14</v>
      </c>
      <c r="AC8" s="65">
        <f t="shared" si="19"/>
        <v>769700.6</v>
      </c>
      <c r="AD8" s="52">
        <f t="shared" si="20"/>
        <v>8354880</v>
      </c>
      <c r="AE8" s="65">
        <f>43707*Q8</f>
        <v>10489680</v>
      </c>
      <c r="AF8" s="52">
        <f t="shared" si="21"/>
        <v>76980283.912</v>
      </c>
      <c r="AG8" s="65">
        <f t="shared" si="22"/>
        <v>2875133.648</v>
      </c>
      <c r="AH8" s="52">
        <f t="shared" si="23"/>
        <v>74105150.263999999</v>
      </c>
      <c r="AI8" s="52"/>
      <c r="AJ8" s="52">
        <f t="shared" si="24"/>
        <v>2160000</v>
      </c>
      <c r="AK8" s="55">
        <v>250000</v>
      </c>
      <c r="AL8" s="55">
        <v>270000</v>
      </c>
      <c r="AM8" s="55">
        <v>570000</v>
      </c>
      <c r="AN8" s="65"/>
      <c r="AO8" s="65"/>
      <c r="AP8" s="65"/>
      <c r="AQ8" s="65">
        <f>dotacion!H30</f>
        <v>8042100</v>
      </c>
      <c r="AR8" s="52">
        <f>AH8+AI8+AJ8+AK8+AL8+AM8+AN8+AO8+AP8+AQ8</f>
        <v>85397250.263999999</v>
      </c>
      <c r="AS8" s="52">
        <f t="shared" si="25"/>
        <v>355821.87609999999</v>
      </c>
      <c r="AT8" s="65">
        <v>2</v>
      </c>
    </row>
    <row r="9" spans="1:46" x14ac:dyDescent="0.35">
      <c r="A9" s="48" t="s">
        <v>125</v>
      </c>
      <c r="B9" s="65">
        <v>114854</v>
      </c>
      <c r="C9" s="52">
        <v>8303</v>
      </c>
      <c r="D9" s="52">
        <f t="shared" si="0"/>
        <v>123157</v>
      </c>
      <c r="E9" s="52">
        <f t="shared" si="1"/>
        <v>10271.293799999999</v>
      </c>
      <c r="F9" s="52">
        <f t="shared" si="2"/>
        <v>342.37646000000001</v>
      </c>
      <c r="G9" s="52">
        <f t="shared" si="3"/>
        <v>10271.293799999999</v>
      </c>
      <c r="H9" s="52">
        <f t="shared" si="4"/>
        <v>5135.6468999999997</v>
      </c>
      <c r="I9" s="52">
        <f t="shared" si="5"/>
        <v>8571.7271999999994</v>
      </c>
      <c r="J9" s="52">
        <f t="shared" si="6"/>
        <v>3694.71</v>
      </c>
      <c r="K9" s="52">
        <f t="shared" si="7"/>
        <v>2463.14</v>
      </c>
      <c r="L9" s="52">
        <f t="shared" si="8"/>
        <v>4926.28</v>
      </c>
      <c r="M9" s="52">
        <f t="shared" si="9"/>
        <v>15394.625</v>
      </c>
      <c r="N9" s="52">
        <f t="shared" si="10"/>
        <v>19705.12</v>
      </c>
      <c r="O9" s="52">
        <f t="shared" si="11"/>
        <v>203933.21315999996</v>
      </c>
      <c r="P9" s="72">
        <v>1</v>
      </c>
      <c r="Q9" s="54">
        <v>240</v>
      </c>
      <c r="R9" s="52">
        <f t="shared" si="12"/>
        <v>48943971.158399992</v>
      </c>
      <c r="S9" s="48" t="s">
        <v>125</v>
      </c>
      <c r="T9" s="65">
        <f t="shared" si="13"/>
        <v>16407.714285714286</v>
      </c>
      <c r="U9" s="61">
        <f t="shared" si="14"/>
        <v>20509.642857142859</v>
      </c>
      <c r="V9" s="65">
        <v>56</v>
      </c>
      <c r="W9" s="65">
        <f t="shared" si="15"/>
        <v>1148540</v>
      </c>
      <c r="X9" s="65">
        <f t="shared" si="16"/>
        <v>28713.5</v>
      </c>
      <c r="Y9" s="65"/>
      <c r="Z9" s="65">
        <f t="shared" si="17"/>
        <v>0</v>
      </c>
      <c r="AA9" s="65">
        <f t="shared" si="18"/>
        <v>47582.371428571423</v>
      </c>
      <c r="AB9" s="65">
        <v>14</v>
      </c>
      <c r="AC9" s="65">
        <f t="shared" si="19"/>
        <v>666153.19999999995</v>
      </c>
      <c r="AD9" s="52">
        <f t="shared" si="20"/>
        <v>8354880</v>
      </c>
      <c r="AE9" s="65">
        <f>33418*Q9</f>
        <v>8020320</v>
      </c>
      <c r="AF9" s="52">
        <f t="shared" si="21"/>
        <v>67133864.358399987</v>
      </c>
      <c r="AG9" s="65">
        <f t="shared" si="22"/>
        <v>2509789.8560000001</v>
      </c>
      <c r="AH9" s="52">
        <f t="shared" si="23"/>
        <v>64624074.502399988</v>
      </c>
      <c r="AI9" s="52"/>
      <c r="AJ9" s="52">
        <f t="shared" si="24"/>
        <v>2160000</v>
      </c>
      <c r="AK9" s="55">
        <v>250000</v>
      </c>
      <c r="AL9" s="55">
        <v>270000</v>
      </c>
      <c r="AM9" s="55">
        <v>570000</v>
      </c>
      <c r="AN9" s="65">
        <f>70000*90</f>
        <v>6300000</v>
      </c>
      <c r="AO9" s="65">
        <f>105000*90</f>
        <v>9450000</v>
      </c>
      <c r="AP9" s="65"/>
      <c r="AQ9" s="65">
        <f>dotacion!I30</f>
        <v>8082100</v>
      </c>
      <c r="AR9" s="52">
        <f>AH9+AI9+AJ9++AK9+AL9+AM9+AN9+AO9+AP9+AQ9</f>
        <v>91706174.502399981</v>
      </c>
      <c r="AS9" s="52">
        <f t="shared" si="25"/>
        <v>382109.06042666658</v>
      </c>
      <c r="AT9" s="65">
        <v>1</v>
      </c>
    </row>
    <row r="10" spans="1:46" x14ac:dyDescent="0.35">
      <c r="A10" s="62"/>
      <c r="B10" s="63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5"/>
    </row>
    <row r="11" spans="1:46" x14ac:dyDescent="0.35">
      <c r="AR11" s="71"/>
    </row>
  </sheetData>
  <mergeCells count="1">
    <mergeCell ref="A1:AS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B460-05CC-48D9-AD5F-C9D81C6522C1}">
  <sheetPr>
    <tabColor rgb="FFFFFF00"/>
  </sheetPr>
  <dimension ref="A1:F63"/>
  <sheetViews>
    <sheetView topLeftCell="A22" workbookViewId="0">
      <selection activeCell="A45" sqref="A45:F47"/>
    </sheetView>
  </sheetViews>
  <sheetFormatPr baseColWidth="10" defaultRowHeight="14.5" x14ac:dyDescent="0.35"/>
  <cols>
    <col min="1" max="1" width="35.26953125" customWidth="1"/>
    <col min="2" max="2" width="5.36328125" bestFit="1" customWidth="1"/>
    <col min="3" max="3" width="9.6328125" bestFit="1" customWidth="1"/>
    <col min="4" max="4" width="14.26953125" customWidth="1"/>
    <col min="6" max="6" width="13.7265625" customWidth="1"/>
  </cols>
  <sheetData>
    <row r="1" spans="1:6" x14ac:dyDescent="0.35">
      <c r="A1" s="306" t="s">
        <v>208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ACTUALIZADO'!C55</f>
        <v>M3</v>
      </c>
    </row>
    <row r="3" spans="1:6" x14ac:dyDescent="0.35">
      <c r="A3" s="33"/>
      <c r="B3" s="34"/>
      <c r="C3" s="45"/>
      <c r="D3" s="46"/>
      <c r="E3" s="37"/>
      <c r="F3" s="77">
        <f>'RESUMEN ACTUALIZADO'!D55</f>
        <v>9</v>
      </c>
    </row>
    <row r="4" spans="1:6" ht="20.5" customHeight="1" x14ac:dyDescent="0.35">
      <c r="A4" s="254" t="s">
        <v>247</v>
      </c>
      <c r="B4" s="22"/>
      <c r="C4" s="23"/>
      <c r="D4" s="26">
        <v>80000</v>
      </c>
      <c r="E4" s="25"/>
      <c r="F4" s="310"/>
    </row>
    <row r="5" spans="1:6" ht="15.5" x14ac:dyDescent="0.35">
      <c r="A5" s="122" t="s">
        <v>686</v>
      </c>
      <c r="D5" s="256">
        <v>20000</v>
      </c>
      <c r="E5" s="25"/>
      <c r="F5" s="310"/>
    </row>
    <row r="6" spans="1:6" ht="15.5" x14ac:dyDescent="0.35">
      <c r="A6" s="226" t="s">
        <v>228</v>
      </c>
      <c r="B6" s="22"/>
      <c r="C6" s="23"/>
      <c r="D6" s="238">
        <v>1500</v>
      </c>
      <c r="E6" s="25"/>
      <c r="F6" s="310"/>
    </row>
    <row r="7" spans="1:6" ht="15.5" x14ac:dyDescent="0.35">
      <c r="A7" s="122" t="s">
        <v>687</v>
      </c>
      <c r="B7" s="22"/>
      <c r="C7" s="23"/>
      <c r="D7" s="257">
        <v>3000</v>
      </c>
      <c r="E7" s="25"/>
      <c r="F7" s="310"/>
    </row>
    <row r="8" spans="1:6" ht="15.5" x14ac:dyDescent="0.35">
      <c r="A8" s="225" t="s">
        <v>227</v>
      </c>
      <c r="B8" s="22"/>
      <c r="C8" s="23"/>
      <c r="D8" s="24">
        <v>700</v>
      </c>
      <c r="E8" s="25"/>
      <c r="F8" s="310"/>
    </row>
    <row r="9" spans="1:6" ht="15.5" x14ac:dyDescent="0.35">
      <c r="A9" s="226" t="s">
        <v>229</v>
      </c>
      <c r="B9" s="22"/>
      <c r="C9" s="23"/>
      <c r="D9" s="24">
        <v>1500</v>
      </c>
      <c r="E9" s="25"/>
      <c r="F9" s="310"/>
    </row>
    <row r="10" spans="1:6" ht="15.5" x14ac:dyDescent="0.35">
      <c r="A10" s="225" t="s">
        <v>434</v>
      </c>
      <c r="B10" s="82"/>
      <c r="C10" s="32"/>
      <c r="D10" s="258">
        <v>1000</v>
      </c>
      <c r="E10" s="83"/>
      <c r="F10" s="310"/>
    </row>
    <row r="11" spans="1:6" ht="15.5" x14ac:dyDescent="0.35">
      <c r="A11" s="226" t="s">
        <v>341</v>
      </c>
      <c r="B11" s="22"/>
      <c r="C11" s="23"/>
      <c r="D11" s="238">
        <v>1000</v>
      </c>
      <c r="E11" s="25"/>
      <c r="F11" s="310"/>
    </row>
    <row r="12" spans="1:6" ht="15.5" x14ac:dyDescent="0.35">
      <c r="A12" s="225" t="s">
        <v>242</v>
      </c>
      <c r="B12" s="22"/>
      <c r="C12" s="23"/>
      <c r="D12" s="258">
        <v>1000</v>
      </c>
      <c r="E12" s="25"/>
      <c r="F12" s="310"/>
    </row>
    <row r="13" spans="1:6" ht="15.5" x14ac:dyDescent="0.35">
      <c r="A13" s="226" t="s">
        <v>344</v>
      </c>
      <c r="B13" s="22"/>
      <c r="C13" s="23"/>
      <c r="D13" s="238">
        <v>40000</v>
      </c>
      <c r="E13" s="25"/>
      <c r="F13" s="310"/>
    </row>
    <row r="14" spans="1:6" ht="15.5" x14ac:dyDescent="0.35">
      <c r="A14" s="225" t="s">
        <v>393</v>
      </c>
      <c r="B14" s="22"/>
      <c r="C14" s="23"/>
      <c r="D14" s="258">
        <v>15000</v>
      </c>
      <c r="E14" s="25"/>
      <c r="F14" s="310"/>
    </row>
    <row r="15" spans="1:6" ht="15.5" x14ac:dyDescent="0.35">
      <c r="A15" s="225" t="s">
        <v>342</v>
      </c>
      <c r="B15" s="22"/>
      <c r="C15" s="23"/>
      <c r="D15" s="258">
        <v>15000</v>
      </c>
      <c r="E15" s="25"/>
      <c r="F15" s="310"/>
    </row>
    <row r="16" spans="1:6" ht="15.5" x14ac:dyDescent="0.35">
      <c r="A16" s="227" t="s">
        <v>632</v>
      </c>
      <c r="B16" s="22"/>
      <c r="C16" s="23"/>
      <c r="D16" s="24">
        <f>IFERROR(VLOOKUP(A16,[1]!TablaEquipos[#Data],2,FALSE),0)</f>
        <v>700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ht="15.5" x14ac:dyDescent="0.35">
      <c r="A24" s="226" t="s">
        <v>265</v>
      </c>
      <c r="B24" s="22"/>
      <c r="C24" s="29"/>
      <c r="D24" s="238">
        <v>65000</v>
      </c>
      <c r="E24" s="25"/>
      <c r="F24" s="281"/>
    </row>
    <row r="25" spans="1:6" ht="15.5" x14ac:dyDescent="0.35">
      <c r="A25" s="225" t="s">
        <v>266</v>
      </c>
      <c r="B25" s="22"/>
      <c r="C25" s="29"/>
      <c r="D25" s="258">
        <v>65000</v>
      </c>
      <c r="E25" s="25"/>
      <c r="F25" s="281"/>
    </row>
    <row r="26" spans="1:6" ht="31" x14ac:dyDescent="0.35">
      <c r="A26" s="236" t="s">
        <v>402</v>
      </c>
      <c r="B26" s="22"/>
      <c r="C26" s="29"/>
      <c r="D26" s="27">
        <v>62000</v>
      </c>
      <c r="E26" s="25"/>
      <c r="F26" s="281"/>
    </row>
    <row r="27" spans="1:6" ht="15.5" x14ac:dyDescent="0.35">
      <c r="A27" s="226" t="s">
        <v>403</v>
      </c>
      <c r="B27" s="22"/>
      <c r="C27" s="29"/>
      <c r="D27" s="238">
        <v>11500</v>
      </c>
      <c r="E27" s="25"/>
      <c r="F27" s="281"/>
    </row>
    <row r="28" spans="1:6" ht="15.5" x14ac:dyDescent="0.35">
      <c r="A28" s="225" t="s">
        <v>359</v>
      </c>
      <c r="B28" s="78"/>
      <c r="C28" s="23"/>
      <c r="D28" s="259">
        <v>9500</v>
      </c>
      <c r="E28" s="25"/>
      <c r="F28" s="281"/>
    </row>
    <row r="29" spans="1:6" ht="15.5" x14ac:dyDescent="0.35">
      <c r="A29" s="236" t="s">
        <v>633</v>
      </c>
      <c r="B29" s="78"/>
      <c r="C29" s="23"/>
      <c r="D29" s="260">
        <v>6500</v>
      </c>
      <c r="E29" s="25"/>
      <c r="F29" s="281"/>
    </row>
    <row r="30" spans="1:6" x14ac:dyDescent="0.35">
      <c r="A30" s="30"/>
      <c r="B30" s="78"/>
      <c r="C30" s="23"/>
      <c r="D30" s="27"/>
      <c r="E30" s="25"/>
      <c r="F30" s="281"/>
    </row>
    <row r="31" spans="1:6" x14ac:dyDescent="0.35">
      <c r="A31" s="30"/>
      <c r="B31" s="78"/>
      <c r="C31" s="23"/>
      <c r="D31" s="27"/>
      <c r="E31" s="25"/>
      <c r="F31" s="281"/>
    </row>
    <row r="32" spans="1:6" x14ac:dyDescent="0.35">
      <c r="A32" s="79"/>
      <c r="B32" s="78"/>
      <c r="C32" s="23"/>
      <c r="D32" s="27"/>
      <c r="E32" s="25"/>
      <c r="F32" s="281"/>
    </row>
    <row r="33" spans="1:6" x14ac:dyDescent="0.35">
      <c r="A33" s="30"/>
      <c r="B33" s="78"/>
      <c r="C33" s="23"/>
      <c r="D33" s="27"/>
      <c r="E33" s="25"/>
      <c r="F33" s="281"/>
    </row>
    <row r="34" spans="1:6" x14ac:dyDescent="0.35">
      <c r="A34" s="31"/>
      <c r="B34" s="78"/>
      <c r="C34" s="23"/>
      <c r="D34" s="27"/>
      <c r="E34" s="25"/>
      <c r="F34" s="281"/>
    </row>
    <row r="35" spans="1:6" x14ac:dyDescent="0.35">
      <c r="A35" s="31"/>
      <c r="B35" s="78"/>
      <c r="C35" s="23"/>
      <c r="D35" s="27"/>
      <c r="E35" s="27"/>
      <c r="F35" s="282"/>
    </row>
    <row r="36" spans="1:6" x14ac:dyDescent="0.35">
      <c r="A36" s="31"/>
      <c r="B36" s="78"/>
      <c r="C36" s="23"/>
      <c r="D36" s="27"/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168"/>
    </row>
    <row r="43" spans="1:6" x14ac:dyDescent="0.35">
      <c r="A43" s="38" t="s">
        <v>272</v>
      </c>
      <c r="B43" s="34">
        <v>1</v>
      </c>
      <c r="C43" s="35">
        <v>2.8</v>
      </c>
      <c r="D43" s="39">
        <f>IFERROR(VLOOKUP(A43,[1]!Tabla8[#Data],3,FALSE),0)</f>
        <v>555393.74067333317</v>
      </c>
      <c r="E43" s="37">
        <f>B43*C43*D43</f>
        <v>1555102.4738853327</v>
      </c>
      <c r="F43" s="155"/>
    </row>
    <row r="44" spans="1:6" x14ac:dyDescent="0.35">
      <c r="A44" s="107" t="s">
        <v>273</v>
      </c>
      <c r="B44" s="20">
        <v>1</v>
      </c>
      <c r="C44" s="40">
        <v>2.8</v>
      </c>
      <c r="D44" s="39">
        <f>IFERROR(VLOOKUP(A44,[1]!Tabla8[#Data],3,FALSE),0)</f>
        <v>555393.74067333317</v>
      </c>
      <c r="E44" s="21">
        <f>B44*C44*D44</f>
        <v>1555102.4738853327</v>
      </c>
      <c r="F44" s="155"/>
    </row>
    <row r="45" spans="1:6" x14ac:dyDescent="0.35">
      <c r="A45" s="107" t="s">
        <v>274</v>
      </c>
      <c r="B45" s="20">
        <v>1</v>
      </c>
      <c r="C45" s="35">
        <v>2.8</v>
      </c>
      <c r="D45" s="39">
        <f>IFERROR(VLOOKUP(A45,[1]!Tabla8[#Data],3,FALSE),0)</f>
        <v>371571.3297066667</v>
      </c>
      <c r="E45" s="21">
        <f>B45*C45*D45</f>
        <v>1040399.7231786667</v>
      </c>
      <c r="F45" s="155"/>
    </row>
    <row r="46" spans="1:6" x14ac:dyDescent="0.35">
      <c r="A46" s="107" t="s">
        <v>223</v>
      </c>
      <c r="B46" s="20">
        <v>1</v>
      </c>
      <c r="C46" s="35">
        <v>1.4</v>
      </c>
      <c r="D46" s="39">
        <f>IFERROR(VLOOKUP(A46,[1]!Tabla8[#Data],3,FALSE),0)</f>
        <v>355821.87609999999</v>
      </c>
      <c r="E46" s="21">
        <f>B46*C46*D46</f>
        <v>498150.62653999997</v>
      </c>
      <c r="F46" s="155"/>
    </row>
    <row r="47" spans="1:6" x14ac:dyDescent="0.35">
      <c r="A47" s="107" t="s">
        <v>275</v>
      </c>
      <c r="B47" s="20">
        <v>4</v>
      </c>
      <c r="C47" s="40">
        <v>2.8</v>
      </c>
      <c r="D47" s="39">
        <f>IFERROR(VLOOKUP(A47,[1]!Tabla8[#Data],3,FALSE),0)</f>
        <v>382109.06042666658</v>
      </c>
      <c r="E47" s="21">
        <f>B47*C47*D47</f>
        <v>4279621.4767786656</v>
      </c>
      <c r="F47" s="155"/>
    </row>
    <row r="48" spans="1:6" x14ac:dyDescent="0.35">
      <c r="A48" s="287">
        <v>3</v>
      </c>
      <c r="B48" s="287"/>
      <c r="C48" s="287"/>
      <c r="D48" s="287"/>
      <c r="E48" s="287"/>
      <c r="F48" s="42">
        <f>SUM(E43:E47)</f>
        <v>8928376.7742679976</v>
      </c>
    </row>
    <row r="49" spans="1:6" x14ac:dyDescent="0.35">
      <c r="A49" s="33" t="s">
        <v>279</v>
      </c>
      <c r="B49" s="34" t="s">
        <v>83</v>
      </c>
      <c r="C49" s="35" t="s">
        <v>84</v>
      </c>
      <c r="D49" s="36" t="s">
        <v>269</v>
      </c>
      <c r="E49" s="37" t="s">
        <v>86</v>
      </c>
      <c r="F49" s="283"/>
    </row>
    <row r="50" spans="1:6" x14ac:dyDescent="0.35">
      <c r="A50" s="108" t="s">
        <v>240</v>
      </c>
      <c r="B50" s="108">
        <v>1</v>
      </c>
      <c r="C50" s="261">
        <v>0.33</v>
      </c>
      <c r="D50" s="108">
        <f>IFERROR(VLOOKUP(A50,[1]!TablaTransporte[#Data],2,FALSE),0)</f>
        <v>550000</v>
      </c>
      <c r="E50" s="110">
        <f>B50*C50*D50</f>
        <v>181500</v>
      </c>
      <c r="F50" s="284"/>
    </row>
    <row r="51" spans="1:6" ht="15.5" x14ac:dyDescent="0.35">
      <c r="A51" s="226" t="s">
        <v>381</v>
      </c>
      <c r="B51" s="108">
        <v>1</v>
      </c>
      <c r="C51" s="261">
        <v>1</v>
      </c>
      <c r="D51" s="108">
        <v>600000</v>
      </c>
      <c r="E51" s="108">
        <f>B51*C51*D51</f>
        <v>600000</v>
      </c>
      <c r="F51" s="284"/>
    </row>
    <row r="52" spans="1:6" ht="15.5" x14ac:dyDescent="0.35">
      <c r="A52" s="255" t="s">
        <v>245</v>
      </c>
      <c r="B52" s="41">
        <v>1</v>
      </c>
      <c r="C52" s="262">
        <v>0.5</v>
      </c>
      <c r="D52" s="238">
        <v>1350000</v>
      </c>
      <c r="E52" s="110">
        <f>B52*C52*D52</f>
        <v>675000</v>
      </c>
      <c r="F52" s="284"/>
    </row>
    <row r="53" spans="1:6" ht="15.5" x14ac:dyDescent="0.35">
      <c r="A53" s="255" t="s">
        <v>299</v>
      </c>
      <c r="B53" s="41">
        <v>1</v>
      </c>
      <c r="C53" s="262">
        <v>0.33</v>
      </c>
      <c r="D53" s="238">
        <v>1330000</v>
      </c>
      <c r="E53" s="108">
        <f>B53*C53*D53</f>
        <v>438900</v>
      </c>
      <c r="F53" s="284"/>
    </row>
    <row r="54" spans="1:6" ht="15.5" x14ac:dyDescent="0.35">
      <c r="A54" s="225" t="s">
        <v>294</v>
      </c>
      <c r="B54" s="41">
        <v>1</v>
      </c>
      <c r="C54" s="262">
        <v>0.33</v>
      </c>
      <c r="D54" s="258">
        <v>1650000</v>
      </c>
      <c r="E54" s="41">
        <f>B54*C54*D54</f>
        <v>544500</v>
      </c>
      <c r="F54" s="284"/>
    </row>
    <row r="55" spans="1:6" ht="15.5" x14ac:dyDescent="0.35">
      <c r="A55" s="255"/>
      <c r="B55" s="41"/>
      <c r="C55" s="41"/>
      <c r="D55" s="41"/>
      <c r="E55" s="41"/>
      <c r="F55" s="284"/>
    </row>
    <row r="56" spans="1:6" ht="15.5" x14ac:dyDescent="0.35">
      <c r="A56" s="255"/>
      <c r="B56" s="41"/>
      <c r="C56" s="41"/>
      <c r="D56" s="41"/>
      <c r="E56" s="41"/>
      <c r="F56" s="285"/>
    </row>
    <row r="57" spans="1:6" x14ac:dyDescent="0.35">
      <c r="A57" s="41"/>
      <c r="B57" s="41"/>
      <c r="C57" s="41"/>
      <c r="D57" s="41"/>
      <c r="E57" s="41"/>
      <c r="F57" s="42">
        <f>SUM(E50:E56)</f>
        <v>2439900</v>
      </c>
    </row>
    <row r="58" spans="1:6" x14ac:dyDescent="0.35">
      <c r="A58" s="288"/>
      <c r="B58" s="289"/>
      <c r="C58" s="289"/>
      <c r="D58" s="289"/>
      <c r="E58" s="290"/>
      <c r="F58" s="42">
        <f>F22+F41+F48+F57</f>
        <v>11368276.774267998</v>
      </c>
    </row>
    <row r="59" spans="1:6" ht="15" thickBot="1" x14ac:dyDescent="0.4">
      <c r="A59" s="291">
        <v>0.08</v>
      </c>
      <c r="B59" s="292"/>
      <c r="C59" s="292"/>
      <c r="D59" s="292"/>
      <c r="E59" s="293"/>
      <c r="F59" s="44">
        <f>F58*A59</f>
        <v>909462.14194143983</v>
      </c>
    </row>
    <row r="60" spans="1:6" ht="15" thickBot="1" x14ac:dyDescent="0.4">
      <c r="A60" s="299"/>
      <c r="B60" s="300"/>
      <c r="C60" s="300"/>
      <c r="D60" s="300"/>
      <c r="E60" s="301"/>
      <c r="F60" s="263">
        <f>F58+F59</f>
        <v>12277738.916209437</v>
      </c>
    </row>
    <row r="61" spans="1:6" ht="15" thickBot="1" x14ac:dyDescent="0.4">
      <c r="A61" s="302">
        <v>0.1</v>
      </c>
      <c r="B61" s="300"/>
      <c r="C61" s="300"/>
      <c r="D61" s="300"/>
      <c r="E61" s="301"/>
      <c r="F61" s="28">
        <f>F60*A61</f>
        <v>1227773.8916209438</v>
      </c>
    </row>
    <row r="62" spans="1:6" ht="15" thickBot="1" x14ac:dyDescent="0.4">
      <c r="A62" s="286"/>
      <c r="B62" s="286"/>
      <c r="C62" s="286"/>
      <c r="D62" s="286"/>
      <c r="E62" s="286"/>
      <c r="F62" s="263">
        <f>F60+F61</f>
        <v>13505512.80783038</v>
      </c>
    </row>
    <row r="63" spans="1:6" x14ac:dyDescent="0.35">
      <c r="F63" s="80">
        <f>F62/F3</f>
        <v>1500612.5342033757</v>
      </c>
    </row>
  </sheetData>
  <mergeCells count="12">
    <mergeCell ref="F49:F56"/>
    <mergeCell ref="A60:E60"/>
    <mergeCell ref="A61:E61"/>
    <mergeCell ref="A62:E62"/>
    <mergeCell ref="A48:E48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2244954A-59D9-459C-9FB5-69130D3471F2}">
      <formula1>ListaMateriales</formula1>
    </dataValidation>
    <dataValidation type="list" allowBlank="1" showInputMessage="1" showErrorMessage="1" sqref="A3:A4 A6:A22" xr:uid="{5C203517-C7EE-4220-8F60-AB1E741B858F}">
      <formula1>ListaEquipos</formula1>
    </dataValidation>
    <dataValidation type="list" allowBlank="1" showInputMessage="1" showErrorMessage="1" sqref="A51:A56" xr:uid="{0BF27587-FF12-4A0B-A1B1-5A989E40D273}">
      <formula1>ListaTransporte</formula1>
    </dataValidation>
    <dataValidation type="list" allowBlank="1" showInputMessage="1" showErrorMessage="1" sqref="A43:A47" xr:uid="{97798C7A-6AC3-4C36-A108-0437798AED8C}">
      <formula1>ListaProfesiones</formula1>
    </dataValidation>
  </dataValidation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4E81-B678-4DFA-8CCB-C5D2CB909813}">
  <sheetPr>
    <tabColor rgb="FF7030A0"/>
  </sheetPr>
  <dimension ref="A1:F61"/>
  <sheetViews>
    <sheetView topLeftCell="A52" workbookViewId="0">
      <selection activeCell="A58" sqref="A58:E58"/>
    </sheetView>
  </sheetViews>
  <sheetFormatPr baseColWidth="10" defaultRowHeight="14.5" x14ac:dyDescent="0.35"/>
  <cols>
    <col min="1" max="1" width="24.08984375" customWidth="1"/>
    <col min="2" max="2" width="5.36328125" bestFit="1" customWidth="1"/>
    <col min="3" max="3" width="9.6328125" bestFit="1" customWidth="1"/>
    <col min="4" max="4" width="10.08984375" bestFit="1" customWidth="1"/>
    <col min="5" max="5" width="11.453125" bestFit="1" customWidth="1"/>
    <col min="6" max="6" width="13.6328125" bestFit="1" customWidth="1"/>
  </cols>
  <sheetData>
    <row r="1" spans="1:6" ht="38.5" customHeight="1" x14ac:dyDescent="0.35">
      <c r="A1" s="367" t="s">
        <v>68</v>
      </c>
      <c r="B1" s="367"/>
      <c r="C1" s="367"/>
      <c r="D1" s="367"/>
      <c r="E1" s="367"/>
      <c r="F1" s="368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ACTUALIZADO'!C56</f>
        <v>M2</v>
      </c>
    </row>
    <row r="3" spans="1:6" x14ac:dyDescent="0.35">
      <c r="A3" s="33"/>
      <c r="B3" s="34"/>
      <c r="C3" s="45"/>
      <c r="D3" s="46"/>
      <c r="E3" s="37"/>
      <c r="F3" s="77">
        <f>'RESUMEN ACTUALIZADO'!D56</f>
        <v>305</v>
      </c>
    </row>
    <row r="4" spans="1:6" x14ac:dyDescent="0.35">
      <c r="A4" s="24" t="s">
        <v>342</v>
      </c>
      <c r="B4" s="22">
        <v>4</v>
      </c>
      <c r="C4" s="23">
        <v>7</v>
      </c>
      <c r="D4" s="24">
        <f>IFERROR(VLOOKUP(A4,[1]!TablaEquipos[#Data],2,FALSE),0)</f>
        <v>15000</v>
      </c>
      <c r="E4" s="25">
        <f>B4*C4*D4</f>
        <v>420000</v>
      </c>
      <c r="F4" s="62"/>
    </row>
    <row r="5" spans="1:6" x14ac:dyDescent="0.35">
      <c r="A5" s="26" t="s">
        <v>794</v>
      </c>
      <c r="B5" s="22">
        <v>1</v>
      </c>
      <c r="C5" s="23">
        <v>1</v>
      </c>
      <c r="D5" s="24">
        <f>IFERROR(VLOOKUP(A5,[1]!TablaEquipos[#Data],2,FALSE),0)</f>
        <v>12000</v>
      </c>
      <c r="E5" s="25">
        <f>B5*C5*D5</f>
        <v>12000</v>
      </c>
      <c r="F5" s="62"/>
    </row>
    <row r="6" spans="1:6" x14ac:dyDescent="0.35">
      <c r="A6" s="26" t="s">
        <v>653</v>
      </c>
      <c r="B6" s="22">
        <v>2</v>
      </c>
      <c r="C6" s="23">
        <v>1</v>
      </c>
      <c r="D6" s="24">
        <f>IFERROR(VLOOKUP(A6,[1]!TablaEquipos[#Data],2,FALSE),0)</f>
        <v>40000</v>
      </c>
      <c r="E6" s="25">
        <f>B6*C6*D6</f>
        <v>80000</v>
      </c>
      <c r="F6" s="62"/>
    </row>
    <row r="7" spans="1:6" x14ac:dyDescent="0.35">
      <c r="A7" s="24" t="s">
        <v>795</v>
      </c>
      <c r="B7" s="22">
        <v>1</v>
      </c>
      <c r="C7" s="23">
        <v>1</v>
      </c>
      <c r="D7" s="24">
        <f>IFERROR(VLOOKUP(A7,[1]!TablaEquipos[#Data],2,FALSE),0)</f>
        <v>30000</v>
      </c>
      <c r="E7" s="25">
        <f t="shared" ref="E7:E13" si="0">B7*C7*D7</f>
        <v>30000</v>
      </c>
      <c r="F7" s="62"/>
    </row>
    <row r="8" spans="1:6" x14ac:dyDescent="0.35">
      <c r="A8" s="24" t="s">
        <v>811</v>
      </c>
      <c r="B8" s="22">
        <v>1</v>
      </c>
      <c r="C8" s="23">
        <v>1</v>
      </c>
      <c r="D8" s="24">
        <f>IFERROR(VLOOKUP(A8,[1]!TablaEquipos[#Data],2,FALSE),0)</f>
        <v>5000</v>
      </c>
      <c r="E8" s="25">
        <f t="shared" si="0"/>
        <v>5000</v>
      </c>
      <c r="F8" s="62"/>
    </row>
    <row r="9" spans="1:6" x14ac:dyDescent="0.35">
      <c r="A9" s="81" t="s">
        <v>344</v>
      </c>
      <c r="B9" s="22">
        <v>1</v>
      </c>
      <c r="C9" s="23">
        <v>10</v>
      </c>
      <c r="D9" s="24">
        <f>IFERROR(VLOOKUP(A9,[1]!TablaEquipos[#Data],2,FALSE),0)</f>
        <v>40000</v>
      </c>
      <c r="E9" s="25">
        <f t="shared" si="0"/>
        <v>400000</v>
      </c>
      <c r="F9" s="62"/>
    </row>
    <row r="10" spans="1:6" x14ac:dyDescent="0.35">
      <c r="A10" s="24" t="s">
        <v>658</v>
      </c>
      <c r="B10" s="22">
        <v>6</v>
      </c>
      <c r="C10" s="23">
        <v>10</v>
      </c>
      <c r="D10" s="24">
        <f>IFERROR(VLOOKUP(A10,[1]!TablaEquipos[#Data],2,FALSE),0)</f>
        <v>9000</v>
      </c>
      <c r="E10" s="25">
        <f t="shared" si="0"/>
        <v>540000</v>
      </c>
      <c r="F10" s="62"/>
    </row>
    <row r="11" spans="1:6" x14ac:dyDescent="0.35">
      <c r="A11" s="24" t="s">
        <v>806</v>
      </c>
      <c r="B11" s="22">
        <v>1</v>
      </c>
      <c r="C11" s="23">
        <v>1</v>
      </c>
      <c r="D11" s="24">
        <f>IFERROR(VLOOKUP(A11,[1]!TablaEquipos[#Data],2,FALSE),0)</f>
        <v>250000</v>
      </c>
      <c r="E11" s="25">
        <f t="shared" si="0"/>
        <v>250000</v>
      </c>
      <c r="F11" s="62"/>
    </row>
    <row r="12" spans="1:6" x14ac:dyDescent="0.35">
      <c r="A12" s="24" t="s">
        <v>808</v>
      </c>
      <c r="B12" s="22">
        <v>1</v>
      </c>
      <c r="C12" s="23">
        <v>1</v>
      </c>
      <c r="D12" s="24">
        <f>IFERROR(VLOOKUP(A12,[1]!TablaEquipos[#Data],2,FALSE),0)</f>
        <v>250000</v>
      </c>
      <c r="E12" s="25">
        <f t="shared" si="0"/>
        <v>250000</v>
      </c>
      <c r="F12" s="62"/>
    </row>
    <row r="13" spans="1:6" x14ac:dyDescent="0.35">
      <c r="A13" s="24" t="s">
        <v>810</v>
      </c>
      <c r="B13" s="22">
        <v>1</v>
      </c>
      <c r="C13" s="23">
        <v>20</v>
      </c>
      <c r="D13" s="24">
        <f>IFERROR(VLOOKUP(A13,[1]!TablaEquipos[#Data],2,FALSE),0)</f>
        <v>350000</v>
      </c>
      <c r="E13" s="25">
        <f t="shared" si="0"/>
        <v>7000000</v>
      </c>
      <c r="F13" s="62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/>
      <c r="F14" s="62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/>
      <c r="F15" s="62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62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62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62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62"/>
    </row>
    <row r="20" spans="1:6" ht="15" thickBot="1" x14ac:dyDescent="0.4">
      <c r="A20" s="294"/>
      <c r="B20" s="295"/>
      <c r="C20" s="295"/>
      <c r="D20" s="295"/>
      <c r="E20" s="295"/>
      <c r="F20" s="84">
        <f>SUM(E4:E19)</f>
        <v>8987000</v>
      </c>
    </row>
    <row r="21" spans="1:6" x14ac:dyDescent="0.35">
      <c r="A21" s="33" t="s">
        <v>270</v>
      </c>
      <c r="B21" s="34" t="s">
        <v>83</v>
      </c>
      <c r="C21" s="45" t="s">
        <v>84</v>
      </c>
      <c r="D21" s="46" t="s">
        <v>269</v>
      </c>
      <c r="E21" s="37" t="s">
        <v>86</v>
      </c>
      <c r="F21" s="280"/>
    </row>
    <row r="22" spans="1:6" x14ac:dyDescent="0.35">
      <c r="A22" s="24" t="s">
        <v>800</v>
      </c>
      <c r="B22" s="22">
        <v>1</v>
      </c>
      <c r="C22" s="29">
        <v>305</v>
      </c>
      <c r="D22" s="27">
        <f>IFERROR(VLOOKUP(A22,[1]!TablaMateriales[#Data],2,FALSE),0)</f>
        <v>196721</v>
      </c>
      <c r="E22" s="25">
        <f t="shared" ref="E22:E27" si="1">B22*C22*D22</f>
        <v>59999905</v>
      </c>
      <c r="F22" s="281"/>
    </row>
    <row r="23" spans="1:6" x14ac:dyDescent="0.35">
      <c r="A23" s="30" t="s">
        <v>804</v>
      </c>
      <c r="B23" s="22">
        <v>1</v>
      </c>
      <c r="C23" s="29">
        <v>305</v>
      </c>
      <c r="D23" s="27">
        <f>IFERROR(VLOOKUP(A23,[1]!TablaMateriales[#Data],2,FALSE),0)</f>
        <v>13450</v>
      </c>
      <c r="E23" s="25">
        <f t="shared" si="1"/>
        <v>4102250</v>
      </c>
      <c r="F23" s="281"/>
    </row>
    <row r="24" spans="1:6" x14ac:dyDescent="0.35">
      <c r="A24" s="30" t="s">
        <v>801</v>
      </c>
      <c r="B24" s="22">
        <v>1</v>
      </c>
      <c r="C24" s="29">
        <v>305</v>
      </c>
      <c r="D24" s="27">
        <f>IFERROR(VLOOKUP(A24,[1]!TablaMateriales[#Data],2,FALSE),0)</f>
        <v>22450</v>
      </c>
      <c r="E24" s="25">
        <f t="shared" si="1"/>
        <v>6847250</v>
      </c>
      <c r="F24" s="281"/>
    </row>
    <row r="25" spans="1:6" x14ac:dyDescent="0.35">
      <c r="A25" s="30" t="s">
        <v>802</v>
      </c>
      <c r="B25" s="22">
        <v>1</v>
      </c>
      <c r="C25" s="29">
        <v>305</v>
      </c>
      <c r="D25" s="27">
        <f>IFERROR(VLOOKUP(A25,[1]!TablaMateriales[#Data],2,FALSE),0)</f>
        <v>10750</v>
      </c>
      <c r="E25" s="25">
        <f t="shared" si="1"/>
        <v>3278750</v>
      </c>
      <c r="F25" s="281"/>
    </row>
    <row r="26" spans="1:6" x14ac:dyDescent="0.35">
      <c r="A26" s="30" t="s">
        <v>803</v>
      </c>
      <c r="B26" s="78">
        <v>1</v>
      </c>
      <c r="C26" s="23">
        <v>305</v>
      </c>
      <c r="D26" s="27">
        <f>IFERROR(VLOOKUP(A26,[1]!TablaMateriales[#Data],2,FALSE),0)</f>
        <v>11934</v>
      </c>
      <c r="E26" s="25">
        <f t="shared" si="1"/>
        <v>3639870</v>
      </c>
      <c r="F26" s="281"/>
    </row>
    <row r="27" spans="1:6" x14ac:dyDescent="0.35">
      <c r="A27" s="30"/>
      <c r="B27" s="78"/>
      <c r="C27" s="23"/>
      <c r="D27" s="27">
        <f>IFERROR(VLOOKUP(A27,[1]!TablaMateriales[#Data],2,FALSE),0)</f>
        <v>0</v>
      </c>
      <c r="E27" s="25">
        <f t="shared" si="1"/>
        <v>0</v>
      </c>
      <c r="F27" s="281"/>
    </row>
    <row r="28" spans="1:6" x14ac:dyDescent="0.35">
      <c r="A28" s="30"/>
      <c r="B28" s="78"/>
      <c r="C28" s="23"/>
      <c r="D28" s="27">
        <f>IFERROR(VLOOKUP(A28,[1]!TablaMateriales[#Data],2,FALSE),0)</f>
        <v>0</v>
      </c>
      <c r="E28" s="25">
        <f t="shared" ref="E28:E33" si="2">B28*D28</f>
        <v>0</v>
      </c>
      <c r="F28" s="281"/>
    </row>
    <row r="29" spans="1:6" x14ac:dyDescent="0.35">
      <c r="A29" s="30"/>
      <c r="B29" s="78"/>
      <c r="C29" s="23"/>
      <c r="D29" s="27">
        <f>IFERROR(VLOOKUP(A29,[1]!TablaMateriales[#Data],2,FALSE),0)</f>
        <v>0</v>
      </c>
      <c r="E29" s="25">
        <f t="shared" si="2"/>
        <v>0</v>
      </c>
      <c r="F29" s="281"/>
    </row>
    <row r="30" spans="1:6" x14ac:dyDescent="0.35">
      <c r="A30" s="79"/>
      <c r="B30" s="78"/>
      <c r="C30" s="23"/>
      <c r="D30" s="27">
        <f>IFERROR(VLOOKUP(A30,[1]!TablaMateriales[#Data],2,FALSE),0)</f>
        <v>0</v>
      </c>
      <c r="E30" s="25">
        <f t="shared" si="2"/>
        <v>0</v>
      </c>
      <c r="F30" s="281"/>
    </row>
    <row r="31" spans="1:6" x14ac:dyDescent="0.35">
      <c r="A31" s="30"/>
      <c r="B31" s="78"/>
      <c r="C31" s="23"/>
      <c r="D31" s="27">
        <f>IFERROR(VLOOKUP(A31,[1]!TablaMateriales[#Data],2,FALSE),0)</f>
        <v>0</v>
      </c>
      <c r="E31" s="25">
        <f t="shared" si="2"/>
        <v>0</v>
      </c>
      <c r="F31" s="281"/>
    </row>
    <row r="32" spans="1:6" x14ac:dyDescent="0.35">
      <c r="A32" s="31"/>
      <c r="B32" s="78"/>
      <c r="C32" s="23"/>
      <c r="D32" s="27">
        <f>IFERROR(VLOOKUP(A32,[1]!TablaMateriales[#Data],2,FALSE),0)</f>
        <v>0</v>
      </c>
      <c r="E32" s="25">
        <f t="shared" si="2"/>
        <v>0</v>
      </c>
      <c r="F32" s="281"/>
    </row>
    <row r="33" spans="1:6" x14ac:dyDescent="0.35">
      <c r="A33" s="31"/>
      <c r="B33" s="78"/>
      <c r="C33" s="23"/>
      <c r="D33" s="27">
        <f>IFERROR(VLOOKUP(A33,[1]!TablaMateriales[#Data],2,FALSE),0)</f>
        <v>0</v>
      </c>
      <c r="E33" s="27">
        <f t="shared" si="2"/>
        <v>0</v>
      </c>
      <c r="F33" s="282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7"/>
      <c r="F34" s="282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/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ht="15" thickBot="1" x14ac:dyDescent="0.4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ht="15" thickBot="1" x14ac:dyDescent="0.4">
      <c r="A39" s="296"/>
      <c r="B39" s="297"/>
      <c r="C39" s="297"/>
      <c r="D39" s="297"/>
      <c r="E39" s="298"/>
      <c r="F39" s="28">
        <f>SUM(E22:E38)</f>
        <v>77868025</v>
      </c>
    </row>
    <row r="40" spans="1:6" x14ac:dyDescent="0.35">
      <c r="A40" s="33" t="s">
        <v>88</v>
      </c>
      <c r="B40" s="34" t="s">
        <v>83</v>
      </c>
      <c r="C40" s="35" t="s">
        <v>84</v>
      </c>
      <c r="D40" s="36" t="s">
        <v>89</v>
      </c>
      <c r="E40" s="37" t="s">
        <v>86</v>
      </c>
      <c r="F40" s="280"/>
    </row>
    <row r="41" spans="1:6" x14ac:dyDescent="0.35">
      <c r="A41" s="38" t="s">
        <v>798</v>
      </c>
      <c r="B41" s="34">
        <v>1</v>
      </c>
      <c r="C41" s="35">
        <v>28</v>
      </c>
      <c r="D41" s="39">
        <f>IFERROR(VLOOKUP(A41,[1]!Tabla8[#Data],3,FALSE),0)</f>
        <v>555393.74067333317</v>
      </c>
      <c r="E41" s="37">
        <f>B41*C41*D41</f>
        <v>15551024.738853328</v>
      </c>
      <c r="F41" s="281"/>
    </row>
    <row r="42" spans="1:6" x14ac:dyDescent="0.35">
      <c r="A42" s="107" t="s">
        <v>799</v>
      </c>
      <c r="B42" s="20">
        <v>1</v>
      </c>
      <c r="C42" s="40">
        <v>28</v>
      </c>
      <c r="D42" s="39">
        <f>IFERROR(VLOOKUP(A42,[1]!Tabla8[#Data],3,FALSE),0)</f>
        <v>371571.3297066667</v>
      </c>
      <c r="E42" s="21">
        <f t="shared" ref="E42:E48" si="3">B42*C42*D42</f>
        <v>10403997.231786668</v>
      </c>
      <c r="F42" s="281"/>
    </row>
    <row r="43" spans="1:6" ht="24" x14ac:dyDescent="0.35">
      <c r="A43" s="107" t="s">
        <v>797</v>
      </c>
      <c r="B43" s="20">
        <v>3</v>
      </c>
      <c r="C43" s="35">
        <v>28</v>
      </c>
      <c r="D43" s="39">
        <f>IFERROR(VLOOKUP(A43,[1]!Tabla8[#Data],3,FALSE),0)</f>
        <v>355821.87609999999</v>
      </c>
      <c r="E43" s="21">
        <f>B43*C43*D43</f>
        <v>29889037.592399999</v>
      </c>
      <c r="F43" s="281"/>
    </row>
    <row r="44" spans="1:6" x14ac:dyDescent="0.35">
      <c r="A44" s="107" t="s">
        <v>511</v>
      </c>
      <c r="B44" s="20">
        <v>2</v>
      </c>
      <c r="C44" s="35">
        <v>28</v>
      </c>
      <c r="D44" s="39">
        <f>IFERROR(VLOOKUP(A44,[1]!Tabla8[#Data],3,FALSE),0)</f>
        <v>382109.06042666658</v>
      </c>
      <c r="E44" s="21">
        <f>B44*C44*D44</f>
        <v>21398107.38389333</v>
      </c>
      <c r="F44" s="281"/>
    </row>
    <row r="45" spans="1:6" x14ac:dyDescent="0.35">
      <c r="A45" s="107" t="s">
        <v>796</v>
      </c>
      <c r="B45" s="20">
        <v>1</v>
      </c>
      <c r="C45" s="35">
        <v>28</v>
      </c>
      <c r="D45" s="39">
        <f>IFERROR(VLOOKUP(A45,[1]!Tabla8[#Data],3,FALSE),0)</f>
        <v>371571.3297066667</v>
      </c>
      <c r="E45" s="21">
        <f>B45*C45*D45</f>
        <v>10403997.231786668</v>
      </c>
      <c r="F45" s="281"/>
    </row>
    <row r="46" spans="1:6" x14ac:dyDescent="0.35">
      <c r="A46" s="107"/>
      <c r="B46" s="20"/>
      <c r="C46" s="35"/>
      <c r="D46" s="39">
        <f>IFERROR(VLOOKUP(A46,[1]!Tabla8[#Data],3,FALSE),0)</f>
        <v>0</v>
      </c>
      <c r="E46" s="21">
        <f t="shared" si="3"/>
        <v>0</v>
      </c>
      <c r="F46" s="281"/>
    </row>
    <row r="47" spans="1:6" x14ac:dyDescent="0.35">
      <c r="A47" s="107"/>
      <c r="B47" s="20"/>
      <c r="C47" s="35"/>
      <c r="D47" s="39">
        <f>IFERROR(VLOOKUP(A47,[1]!Tabla8[#Data],3,FALSE),0)</f>
        <v>0</v>
      </c>
      <c r="E47" s="21">
        <f>B47*C47*D47</f>
        <v>0</v>
      </c>
      <c r="F47" s="281"/>
    </row>
    <row r="48" spans="1:6" x14ac:dyDescent="0.35">
      <c r="A48" s="107"/>
      <c r="B48" s="20"/>
      <c r="C48" s="40"/>
      <c r="D48" s="39">
        <f>IFERROR(VLOOKUP(A48,[1]!Tabla8[#Data],3,FALSE),0)</f>
        <v>0</v>
      </c>
      <c r="E48" s="21">
        <f t="shared" si="3"/>
        <v>0</v>
      </c>
      <c r="F48" s="281"/>
    </row>
    <row r="49" spans="1:6" x14ac:dyDescent="0.35">
      <c r="A49" s="287">
        <v>3</v>
      </c>
      <c r="B49" s="287"/>
      <c r="C49" s="287"/>
      <c r="D49" s="287"/>
      <c r="E49" s="287"/>
      <c r="F49" s="42">
        <f>SUM(E41:E48)</f>
        <v>87646164.178719997</v>
      </c>
    </row>
    <row r="50" spans="1:6" x14ac:dyDescent="0.35">
      <c r="A50" s="33" t="s">
        <v>279</v>
      </c>
      <c r="B50" s="34" t="s">
        <v>83</v>
      </c>
      <c r="C50" s="35" t="s">
        <v>84</v>
      </c>
      <c r="D50" s="36" t="s">
        <v>269</v>
      </c>
      <c r="E50" s="37" t="s">
        <v>86</v>
      </c>
      <c r="F50" s="283"/>
    </row>
    <row r="51" spans="1:6" x14ac:dyDescent="0.35">
      <c r="A51" s="108" t="s">
        <v>240</v>
      </c>
      <c r="B51" s="108">
        <v>1</v>
      </c>
      <c r="C51" s="166">
        <v>1</v>
      </c>
      <c r="D51" s="108">
        <f>IFERROR(VLOOKUP(A51,[1]!TablaTransporte[#Data],2,FALSE),0)</f>
        <v>550000</v>
      </c>
      <c r="E51" s="108">
        <f>B51*C51*D51</f>
        <v>550000</v>
      </c>
      <c r="F51" s="284"/>
    </row>
    <row r="52" spans="1:6" x14ac:dyDescent="0.35">
      <c r="A52" s="108" t="s">
        <v>381</v>
      </c>
      <c r="B52" s="108">
        <v>1</v>
      </c>
      <c r="C52" s="108">
        <v>10</v>
      </c>
      <c r="D52" s="108">
        <f>IFERROR(VLOOKUP(A52,[1]!TablaTransporte[#Data],2,FALSE),0)</f>
        <v>600000</v>
      </c>
      <c r="E52" s="108">
        <f>B52*C52*D52</f>
        <v>6000000</v>
      </c>
      <c r="F52" s="284"/>
    </row>
    <row r="53" spans="1:6" x14ac:dyDescent="0.35">
      <c r="A53" s="41"/>
      <c r="B53" s="41"/>
      <c r="C53" s="41"/>
      <c r="D53" s="41">
        <f>IFERROR(VLOOKUP(A53,[1]!TablaTransporte[#Data],2,FALSE),0)</f>
        <v>0</v>
      </c>
      <c r="E53" s="41"/>
      <c r="F53" s="284"/>
    </row>
    <row r="54" spans="1:6" x14ac:dyDescent="0.35">
      <c r="A54" s="41"/>
      <c r="B54" s="41"/>
      <c r="C54" s="41"/>
      <c r="D54" s="41">
        <f>IFERROR(VLOOKUP(A54,[1]!TablaTransporte[#Data],2,FALSE),0)</f>
        <v>0</v>
      </c>
      <c r="E54" s="41"/>
      <c r="F54" s="285"/>
    </row>
    <row r="55" spans="1:6" x14ac:dyDescent="0.35">
      <c r="A55" s="43"/>
      <c r="B55" s="43"/>
      <c r="C55" s="43"/>
      <c r="D55" s="43"/>
      <c r="E55" s="43"/>
      <c r="F55" s="42">
        <f>SUM(E51:E54)</f>
        <v>6550000</v>
      </c>
    </row>
    <row r="56" spans="1:6" x14ac:dyDescent="0.35">
      <c r="A56" s="288"/>
      <c r="B56" s="289"/>
      <c r="C56" s="289"/>
      <c r="D56" s="289"/>
      <c r="E56" s="290"/>
      <c r="F56" s="42">
        <f>F20+F39+F49+F55</f>
        <v>181051189.17872</v>
      </c>
    </row>
    <row r="57" spans="1:6" ht="15" thickBot="1" x14ac:dyDescent="0.4">
      <c r="A57" s="291">
        <v>0.05</v>
      </c>
      <c r="B57" s="292"/>
      <c r="C57" s="292"/>
      <c r="D57" s="292"/>
      <c r="E57" s="293"/>
      <c r="F57" s="44">
        <f>F56*A57</f>
        <v>9052559.4589360002</v>
      </c>
    </row>
    <row r="58" spans="1:6" ht="15" thickBot="1" x14ac:dyDescent="0.4">
      <c r="A58" s="299"/>
      <c r="B58" s="300"/>
      <c r="C58" s="300"/>
      <c r="D58" s="300"/>
      <c r="E58" s="301"/>
      <c r="F58" s="28">
        <f>F56+F57</f>
        <v>190103748.637656</v>
      </c>
    </row>
    <row r="59" spans="1:6" ht="15" thickBot="1" x14ac:dyDescent="0.4">
      <c r="A59" s="302">
        <v>0.12</v>
      </c>
      <c r="B59" s="300"/>
      <c r="C59" s="300"/>
      <c r="D59" s="300"/>
      <c r="E59" s="301"/>
      <c r="F59" s="28">
        <f>F58*A59</f>
        <v>22812449.83651872</v>
      </c>
    </row>
    <row r="60" spans="1:6" ht="15" thickBot="1" x14ac:dyDescent="0.4">
      <c r="A60" s="286"/>
      <c r="B60" s="286"/>
      <c r="C60" s="286"/>
      <c r="D60" s="286"/>
      <c r="E60" s="286"/>
      <c r="F60" s="28">
        <f>F58+F59</f>
        <v>212916198.47417474</v>
      </c>
    </row>
    <row r="61" spans="1:6" x14ac:dyDescent="0.35">
      <c r="F61" s="80">
        <f>F60/F3</f>
        <v>698085.89663663844</v>
      </c>
    </row>
  </sheetData>
  <mergeCells count="12">
    <mergeCell ref="A59:E59"/>
    <mergeCell ref="A60:E60"/>
    <mergeCell ref="F40:F48"/>
    <mergeCell ref="A49:E49"/>
    <mergeCell ref="F50:F54"/>
    <mergeCell ref="A56:E56"/>
    <mergeCell ref="A57:E57"/>
    <mergeCell ref="A39:E39"/>
    <mergeCell ref="A1:F1"/>
    <mergeCell ref="A20:E20"/>
    <mergeCell ref="F21:F38"/>
    <mergeCell ref="A58:E58"/>
  </mergeCells>
  <dataValidations count="4">
    <dataValidation type="list" allowBlank="1" showInputMessage="1" showErrorMessage="1" sqref="A22:A39" xr:uid="{1294E222-E650-4F90-A93A-58277C379000}">
      <formula1>ListaMateriales</formula1>
    </dataValidation>
    <dataValidation type="list" allowBlank="1" showInputMessage="1" showErrorMessage="1" sqref="A51:A54" xr:uid="{BCB61714-F41A-4462-B9B7-D15DB5979C6F}">
      <formula1>ListaTransporte</formula1>
    </dataValidation>
    <dataValidation type="list" allowBlank="1" showInputMessage="1" showErrorMessage="1" sqref="A41:A48" xr:uid="{BA6EECD3-7004-4DD2-955C-FFF20ADBF55A}">
      <formula1>ListaProfesiones</formula1>
    </dataValidation>
    <dataValidation type="list" allowBlank="1" showInputMessage="1" showErrorMessage="1" sqref="A3:A20" xr:uid="{3312E5D4-CE6A-4331-88BE-A62516A1C0A4}">
      <formula1>ListaEquipos</formula1>
    </dataValidation>
  </dataValidation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A1A5-95C0-401B-BFD8-D910096B98F3}">
  <sheetPr>
    <tabColor rgb="FF7030A0"/>
  </sheetPr>
  <dimension ref="A1:F63"/>
  <sheetViews>
    <sheetView workbookViewId="0">
      <selection activeCell="A50" sqref="A50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ht="31" customHeight="1" x14ac:dyDescent="0.35">
      <c r="A1" s="312" t="s">
        <v>216</v>
      </c>
      <c r="B1" s="312"/>
      <c r="C1" s="312"/>
      <c r="D1" s="312"/>
      <c r="E1" s="312"/>
      <c r="F1" s="313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ACTUALIZADO'!C57</f>
        <v>M2</v>
      </c>
    </row>
    <row r="3" spans="1:6" x14ac:dyDescent="0.35">
      <c r="A3" s="33"/>
      <c r="B3" s="34"/>
      <c r="C3" s="45"/>
      <c r="D3" s="46"/>
      <c r="E3" s="37"/>
      <c r="F3" s="77">
        <f>'RESUMEN ACTUALIZADO'!D57</f>
        <v>333.98117204319084</v>
      </c>
    </row>
    <row r="4" spans="1:6" x14ac:dyDescent="0.35">
      <c r="A4" s="24"/>
      <c r="B4" s="22"/>
      <c r="C4" s="23"/>
      <c r="D4" s="24">
        <f>IFERROR(VLOOKUP(A4,[1]!TablaEquipos[#Data],2,FALSE),0)</f>
        <v>0</v>
      </c>
      <c r="E4" s="25">
        <f t="shared" ref="E4:E11" si="0">B4*C4*D4</f>
        <v>0</v>
      </c>
      <c r="F4" s="310"/>
    </row>
    <row r="5" spans="1:6" x14ac:dyDescent="0.35">
      <c r="A5" s="26"/>
      <c r="B5" s="22"/>
      <c r="C5" s="23"/>
      <c r="D5" s="24">
        <f>IFERROR(VLOOKUP(A5,[1]!TablaEquipos[#Data],2,FALSE),0)</f>
        <v>0</v>
      </c>
      <c r="E5" s="25">
        <f t="shared" si="0"/>
        <v>0</v>
      </c>
      <c r="F5" s="310"/>
    </row>
    <row r="6" spans="1:6" x14ac:dyDescent="0.35">
      <c r="A6" s="26"/>
      <c r="B6" s="22"/>
      <c r="C6" s="23"/>
      <c r="D6" s="24">
        <f>IFERROR(VLOOKUP(A6,[1]!TablaEquipos[#Data],2,FALSE),0)</f>
        <v>0</v>
      </c>
      <c r="E6" s="25">
        <f t="shared" si="0"/>
        <v>0</v>
      </c>
      <c r="F6" s="310"/>
    </row>
    <row r="7" spans="1:6" x14ac:dyDescent="0.35">
      <c r="A7" s="24"/>
      <c r="B7" s="22"/>
      <c r="C7" s="23"/>
      <c r="D7" s="24">
        <f>IFERROR(VLOOKUP(A7,[1]!TablaEquipos[#Data],2,FALSE),0)</f>
        <v>0</v>
      </c>
      <c r="E7" s="25">
        <f t="shared" si="0"/>
        <v>0</v>
      </c>
      <c r="F7" s="310"/>
    </row>
    <row r="8" spans="1:6" x14ac:dyDescent="0.35">
      <c r="A8" s="26"/>
      <c r="B8" s="22"/>
      <c r="C8" s="23"/>
      <c r="D8" s="24">
        <f>IFERROR(VLOOKUP(A8,[1]!TablaEquipos[#Data],2,FALSE),0)</f>
        <v>0</v>
      </c>
      <c r="E8" s="25">
        <f t="shared" si="0"/>
        <v>0</v>
      </c>
      <c r="F8" s="310"/>
    </row>
    <row r="9" spans="1:6" x14ac:dyDescent="0.35">
      <c r="A9" s="24"/>
      <c r="B9" s="22"/>
      <c r="C9" s="23"/>
      <c r="D9" s="24">
        <f>IFERROR(VLOOKUP(A9,[1]!TablaEquipos[#Data],2,FALSE),0)</f>
        <v>0</v>
      </c>
      <c r="E9" s="25">
        <f t="shared" si="0"/>
        <v>0</v>
      </c>
      <c r="F9" s="310"/>
    </row>
    <row r="10" spans="1:6" x14ac:dyDescent="0.35">
      <c r="A10" s="81"/>
      <c r="B10" s="82"/>
      <c r="C10" s="32"/>
      <c r="D10" s="81">
        <f>IFERROR(VLOOKUP(A10,[1]!TablaEquipos[#Data],2,FALSE),0)</f>
        <v>0</v>
      </c>
      <c r="E10" s="83">
        <f t="shared" si="0"/>
        <v>0</v>
      </c>
      <c r="F10" s="310"/>
    </row>
    <row r="11" spans="1:6" x14ac:dyDescent="0.35">
      <c r="A11" s="24"/>
      <c r="B11" s="22"/>
      <c r="C11" s="23"/>
      <c r="D11" s="24">
        <f>IFERROR(VLOOKUP(A11,[1]!TablaEquipos[#Data],2,FALSE),0)</f>
        <v>0</v>
      </c>
      <c r="E11" s="25">
        <f t="shared" si="0"/>
        <v>0</v>
      </c>
      <c r="F11" s="310"/>
    </row>
    <row r="12" spans="1:6" x14ac:dyDescent="0.35">
      <c r="A12" s="24"/>
      <c r="B12" s="22"/>
      <c r="C12" s="23"/>
      <c r="D12" s="24">
        <f>IFERROR(VLOOKUP(A12,[1]!TablaEquipos[#Data],2,FALSE),0)</f>
        <v>0</v>
      </c>
      <c r="E12" s="25">
        <f>B12*D12</f>
        <v>0</v>
      </c>
      <c r="F12" s="310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>
        <f>B14*C14*D14</f>
        <v>0</v>
      </c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/>
      <c r="B24" s="22"/>
      <c r="C24" s="29"/>
      <c r="D24" s="27">
        <f>IFERROR(VLOOKUP(A24,[1]!TablaMateriales[#Data],2,FALSE),0)</f>
        <v>0</v>
      </c>
      <c r="E24" s="25">
        <f>B24*D24</f>
        <v>0</v>
      </c>
      <c r="F24" s="281"/>
    </row>
    <row r="25" spans="1:6" x14ac:dyDescent="0.35">
      <c r="A25" s="30"/>
      <c r="B25" s="22"/>
      <c r="C25" s="29"/>
      <c r="D25" s="27">
        <f>IFERROR(VLOOKUP(A25,[1]!TablaMateriales[#Data],2,FALSE),0)</f>
        <v>0</v>
      </c>
      <c r="E25" s="25">
        <f>B25*D25</f>
        <v>0</v>
      </c>
      <c r="F25" s="281"/>
    </row>
    <row r="26" spans="1:6" x14ac:dyDescent="0.35">
      <c r="A26" s="30"/>
      <c r="B26" s="22"/>
      <c r="C26" s="29"/>
      <c r="D26" s="27">
        <f>IFERROR(VLOOKUP(A26,[1]!TablaMateriales[#Data],2,FALSE),0)</f>
        <v>0</v>
      </c>
      <c r="E26" s="25">
        <f>B26*D26</f>
        <v>0</v>
      </c>
      <c r="F26" s="281"/>
    </row>
    <row r="27" spans="1:6" x14ac:dyDescent="0.35">
      <c r="A27" s="30"/>
      <c r="B27" s="22"/>
      <c r="C27" s="29"/>
      <c r="D27" s="27">
        <f>IFERROR(VLOOKUP(A27,[1]!TablaMateriales[#Data],2,FALSE),0)</f>
        <v>0</v>
      </c>
      <c r="E27" s="25">
        <f>B27*D27</f>
        <v>0</v>
      </c>
      <c r="F27" s="281"/>
    </row>
    <row r="28" spans="1:6" x14ac:dyDescent="0.35">
      <c r="A28" s="30"/>
      <c r="B28" s="78"/>
      <c r="C28" s="23"/>
      <c r="D28" s="27">
        <f>IFERROR(VLOOKUP(A28,[1]!TablaMateriales[#Data],2,FALSE),0)</f>
        <v>0</v>
      </c>
      <c r="E28" s="25">
        <f>B28*D28</f>
        <v>0</v>
      </c>
      <c r="F28" s="281"/>
    </row>
    <row r="29" spans="1:6" x14ac:dyDescent="0.35">
      <c r="A29" s="30"/>
      <c r="B29" s="78"/>
      <c r="C29" s="23"/>
      <c r="D29" s="27">
        <f>IFERROR(VLOOKUP(A29,[1]!TablaMateriales[#Data],2,FALSE),0)</f>
        <v>0</v>
      </c>
      <c r="E29" s="25">
        <f t="shared" ref="E29:E35" si="1">B29*D29</f>
        <v>0</v>
      </c>
      <c r="F29" s="281"/>
    </row>
    <row r="30" spans="1:6" x14ac:dyDescent="0.35">
      <c r="A30" s="30"/>
      <c r="B30" s="78"/>
      <c r="C30" s="23"/>
      <c r="D30" s="27">
        <f>IFERROR(VLOOKUP(A30,[1]!TablaMateriales[#Data],2,FALSE),0)</f>
        <v>0</v>
      </c>
      <c r="E30" s="25">
        <f t="shared" si="1"/>
        <v>0</v>
      </c>
      <c r="F30" s="281"/>
    </row>
    <row r="31" spans="1:6" x14ac:dyDescent="0.35">
      <c r="A31" s="30"/>
      <c r="B31" s="78"/>
      <c r="C31" s="23"/>
      <c r="D31" s="27">
        <f>IFERROR(VLOOKUP(A31,[1]!TablaMateriales[#Data],2,FALSE),0)</f>
        <v>0</v>
      </c>
      <c r="E31" s="25">
        <f t="shared" si="1"/>
        <v>0</v>
      </c>
      <c r="F31" s="281"/>
    </row>
    <row r="32" spans="1:6" x14ac:dyDescent="0.35">
      <c r="A32" s="79"/>
      <c r="B32" s="78"/>
      <c r="C32" s="23"/>
      <c r="D32" s="27">
        <f>IFERROR(VLOOKUP(A32,[1]!TablaMateriales[#Data],2,FALSE),0)</f>
        <v>0</v>
      </c>
      <c r="E32" s="25">
        <f t="shared" si="1"/>
        <v>0</v>
      </c>
      <c r="F32" s="281"/>
    </row>
    <row r="33" spans="1:6" x14ac:dyDescent="0.35">
      <c r="A33" s="30"/>
      <c r="B33" s="78"/>
      <c r="C33" s="23"/>
      <c r="D33" s="27">
        <f>IFERROR(VLOOKUP(A33,[1]!TablaMateriales[#Data],2,FALSE),0)</f>
        <v>0</v>
      </c>
      <c r="E33" s="25">
        <f t="shared" si="1"/>
        <v>0</v>
      </c>
      <c r="F33" s="281"/>
    </row>
    <row r="34" spans="1:6" x14ac:dyDescent="0.35">
      <c r="A34" s="31"/>
      <c r="B34" s="78"/>
      <c r="C34" s="23"/>
      <c r="D34" s="27">
        <f>IFERROR(VLOOKUP(A34,[1]!TablaMateriales[#Data],2,FALSE),0)</f>
        <v>0</v>
      </c>
      <c r="E34" s="25">
        <f t="shared" si="1"/>
        <v>0</v>
      </c>
      <c r="F34" s="281"/>
    </row>
    <row r="35" spans="1:6" x14ac:dyDescent="0.35">
      <c r="A35" s="31"/>
      <c r="B35" s="78"/>
      <c r="C35" s="23"/>
      <c r="D35" s="27">
        <f>IFERROR(VLOOKUP(A35,[1]!TablaMateriales[#Data],2,FALSE),0)</f>
        <v>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/>
      <c r="C43" s="35"/>
      <c r="D43" s="39">
        <f>IFERROR(VLOOKUP(A43,[1]!Tabla8[#Data],3,FALSE),0)</f>
        <v>555393.74067333317</v>
      </c>
      <c r="E43" s="37">
        <f>B43*C43*D43</f>
        <v>0</v>
      </c>
      <c r="F43" s="281"/>
    </row>
    <row r="44" spans="1:6" x14ac:dyDescent="0.35">
      <c r="A44" s="107" t="s">
        <v>273</v>
      </c>
      <c r="B44" s="20"/>
      <c r="C44" s="40"/>
      <c r="D44" s="39">
        <f>IFERROR(VLOOKUP(A44,[1]!Tabla8[#Data],3,FALSE),0)</f>
        <v>555393.74067333317</v>
      </c>
      <c r="E44" s="21">
        <f t="shared" ref="E44:E50" si="2">B44*C44*D44</f>
        <v>0</v>
      </c>
      <c r="F44" s="281"/>
    </row>
    <row r="45" spans="1:6" x14ac:dyDescent="0.35">
      <c r="A45" s="107" t="s">
        <v>277</v>
      </c>
      <c r="B45" s="20"/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/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/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/>
      <c r="C48" s="35"/>
      <c r="D48" s="39">
        <f>IFERROR(VLOOKUP(A48,[1]!Tabla8[#Data],3,FALSE),0)</f>
        <v>371571.3297066667</v>
      </c>
      <c r="E48" s="21">
        <f t="shared" si="2"/>
        <v>0</v>
      </c>
      <c r="F48" s="281"/>
    </row>
    <row r="49" spans="1:6" x14ac:dyDescent="0.35">
      <c r="A49" s="107" t="s">
        <v>223</v>
      </c>
      <c r="B49" s="20"/>
      <c r="C49" s="35"/>
      <c r="D49" s="39">
        <f>IFERROR(VLOOKUP(A49,[1]!Tabla8[#Data],3,FALSE),0)</f>
        <v>355821.87609999999</v>
      </c>
      <c r="E49" s="21">
        <f>B49*C49*D49</f>
        <v>0</v>
      </c>
      <c r="F49" s="281"/>
    </row>
    <row r="50" spans="1:6" x14ac:dyDescent="0.35">
      <c r="A50" s="107" t="s">
        <v>275</v>
      </c>
      <c r="B50" s="20"/>
      <c r="C50" s="40"/>
      <c r="D50" s="39">
        <f>IFERROR(VLOOKUP(A50,[1]!Tabla8[#Data],3,FALSE),0)</f>
        <v>382109.06042666658</v>
      </c>
      <c r="E50" s="21">
        <f t="shared" si="2"/>
        <v>0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0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/>
      <c r="B53" s="108"/>
      <c r="C53" s="108"/>
      <c r="D53" s="108">
        <f>IFERROR(VLOOKUP(A53,[1]!TablaTransporte[#Data],2,FALSE),0)</f>
        <v>0</v>
      </c>
      <c r="E53" s="110">
        <f>B53*C53*D53</f>
        <v>0</v>
      </c>
      <c r="F53" s="284"/>
    </row>
    <row r="54" spans="1:6" x14ac:dyDescent="0.35">
      <c r="A54" s="108"/>
      <c r="B54" s="108"/>
      <c r="C54" s="108"/>
      <c r="D54" s="108">
        <f>IFERROR(VLOOKUP(A54,[1]!TablaTransporte[#Data],2,FALSE),0)</f>
        <v>0</v>
      </c>
      <c r="E54" s="108">
        <f>B54*C54*D54</f>
        <v>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0</v>
      </c>
    </row>
    <row r="59" spans="1:6" ht="15" thickBot="1" x14ac:dyDescent="0.4">
      <c r="A59" s="291">
        <v>0.08</v>
      </c>
      <c r="B59" s="292"/>
      <c r="C59" s="292"/>
      <c r="D59" s="292"/>
      <c r="E59" s="293"/>
      <c r="F59" s="44">
        <f>F58*A59</f>
        <v>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0</v>
      </c>
    </row>
    <row r="61" spans="1:6" ht="15" thickBot="1" x14ac:dyDescent="0.4">
      <c r="A61" s="302">
        <v>0.12</v>
      </c>
      <c r="B61" s="300"/>
      <c r="C61" s="300"/>
      <c r="D61" s="300"/>
      <c r="E61" s="301"/>
      <c r="F61" s="28">
        <f>F60*A61</f>
        <v>0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0</v>
      </c>
    </row>
    <row r="63" spans="1:6" x14ac:dyDescent="0.35">
      <c r="F63" s="80">
        <f>F62/F3</f>
        <v>0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BE8DF2E0-129D-4A72-8A28-FAB9BFE85B5D}">
      <formula1>ListaMateriales</formula1>
    </dataValidation>
    <dataValidation type="list" allowBlank="1" showInputMessage="1" showErrorMessage="1" sqref="A3 A4 A5 A6 A7 A8 A9 A10 A11 A12 A13 A14 A15 A16 A17 A18 A19 A20 A21 A22" xr:uid="{FC9BB151-F34E-42E9-9FC4-A70F331D131C}">
      <formula1>ListaEquipos</formula1>
    </dataValidation>
    <dataValidation type="list" allowBlank="1" showInputMessage="1" showErrorMessage="1" sqref="A54 A55 A56" xr:uid="{563BC17F-9E10-49B1-AD1E-044219ADDD82}">
      <formula1>ListaTransporte</formula1>
    </dataValidation>
    <dataValidation type="list" allowBlank="1" showInputMessage="1" showErrorMessage="1" sqref="A43:A50" xr:uid="{10AAFE43-E7AD-497A-BD11-02AE8A76B797}">
      <formula1>ListaProfesiones</formula1>
    </dataValidation>
  </dataValidation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1D05-9F3F-4B26-941A-9EE66D5E0965}">
  <dimension ref="A1:F74"/>
  <sheetViews>
    <sheetView workbookViewId="0">
      <selection activeCell="F74" sqref="A1:F74"/>
    </sheetView>
  </sheetViews>
  <sheetFormatPr baseColWidth="10" defaultRowHeight="14.5" x14ac:dyDescent="0.35"/>
  <cols>
    <col min="1" max="1" width="22.08984375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ht="31.5" customHeight="1" x14ac:dyDescent="0.35">
      <c r="A1" s="367" t="s">
        <v>209</v>
      </c>
      <c r="B1" s="367"/>
      <c r="C1" s="367"/>
      <c r="D1" s="367"/>
      <c r="E1" s="367"/>
      <c r="F1" s="368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ACTUALIZADO'!C58</f>
        <v>ML</v>
      </c>
    </row>
    <row r="3" spans="1:6" x14ac:dyDescent="0.35">
      <c r="A3" s="33"/>
      <c r="B3" s="34"/>
      <c r="C3" s="45"/>
      <c r="D3" s="46"/>
      <c r="E3" s="37"/>
      <c r="F3" s="77">
        <f>'RESUMEN ACTUALIZADO'!D58</f>
        <v>66.151103515187629</v>
      </c>
    </row>
    <row r="4" spans="1:6" x14ac:dyDescent="0.35">
      <c r="B4" s="22"/>
      <c r="C4" s="23"/>
      <c r="D4" s="24">
        <f>IFERROR(VLOOKUP(A4,[1]!TablaEquipos[#Data],2,FALSE),0)</f>
        <v>0</v>
      </c>
      <c r="E4" s="25">
        <f t="shared" ref="E4:E11" si="0">B4*C4*D4</f>
        <v>0</v>
      </c>
      <c r="F4" s="310"/>
    </row>
    <row r="5" spans="1:6" x14ac:dyDescent="0.35">
      <c r="B5" s="22"/>
      <c r="C5" s="23"/>
      <c r="D5" s="24">
        <f>IFERROR(VLOOKUP(A5,[1]!TablaEquipos[#Data],2,FALSE),0)</f>
        <v>0</v>
      </c>
      <c r="E5" s="25">
        <f t="shared" si="0"/>
        <v>0</v>
      </c>
      <c r="F5" s="310"/>
    </row>
    <row r="6" spans="1:6" x14ac:dyDescent="0.35">
      <c r="B6" s="22"/>
      <c r="C6" s="23"/>
      <c r="D6" s="24">
        <f>IFERROR(VLOOKUP(A6,[1]!TablaEquipos[#Data],2,FALSE),0)</f>
        <v>0</v>
      </c>
      <c r="E6" s="25">
        <f t="shared" si="0"/>
        <v>0</v>
      </c>
      <c r="F6" s="310"/>
    </row>
    <row r="7" spans="1:6" x14ac:dyDescent="0.35">
      <c r="A7" s="24"/>
      <c r="B7" s="22"/>
      <c r="C7" s="23"/>
      <c r="D7" s="24">
        <f>IFERROR(VLOOKUP(A7,[1]!TablaEquipos[#Data],2,FALSE),0)</f>
        <v>0</v>
      </c>
      <c r="E7" s="25">
        <f t="shared" si="0"/>
        <v>0</v>
      </c>
      <c r="F7" s="310"/>
    </row>
    <row r="8" spans="1:6" x14ac:dyDescent="0.35">
      <c r="A8" s="26"/>
      <c r="B8" s="22"/>
      <c r="C8" s="23"/>
      <c r="D8" s="24">
        <f>IFERROR(VLOOKUP(A8,[1]!TablaEquipos[#Data],2,FALSE),0)</f>
        <v>0</v>
      </c>
      <c r="E8" s="25">
        <f t="shared" si="0"/>
        <v>0</v>
      </c>
      <c r="F8" s="310"/>
    </row>
    <row r="9" spans="1:6" x14ac:dyDescent="0.35">
      <c r="A9" s="24"/>
      <c r="B9" s="22"/>
      <c r="C9" s="23"/>
      <c r="D9" s="24">
        <f>IFERROR(VLOOKUP(A9,[1]!TablaEquipos[#Data],2,FALSE),0)</f>
        <v>0</v>
      </c>
      <c r="E9" s="25">
        <f t="shared" si="0"/>
        <v>0</v>
      </c>
      <c r="F9" s="310"/>
    </row>
    <row r="10" spans="1:6" x14ac:dyDescent="0.35">
      <c r="A10" s="81"/>
      <c r="B10" s="82"/>
      <c r="C10" s="32"/>
      <c r="D10" s="81">
        <f>IFERROR(VLOOKUP(A10,[1]!TablaEquipos[#Data],2,FALSE),0)</f>
        <v>0</v>
      </c>
      <c r="E10" s="83">
        <f t="shared" si="0"/>
        <v>0</v>
      </c>
      <c r="F10" s="310"/>
    </row>
    <row r="11" spans="1:6" x14ac:dyDescent="0.35">
      <c r="A11" s="24"/>
      <c r="B11" s="22"/>
      <c r="C11" s="23"/>
      <c r="D11" s="24">
        <f>IFERROR(VLOOKUP(A11,[1]!TablaEquipos[#Data],2,FALSE),0)</f>
        <v>0</v>
      </c>
      <c r="E11" s="25">
        <f t="shared" si="0"/>
        <v>0</v>
      </c>
      <c r="F11" s="310"/>
    </row>
    <row r="12" spans="1:6" x14ac:dyDescent="0.35">
      <c r="A12" s="24"/>
      <c r="B12" s="22"/>
      <c r="C12" s="23"/>
      <c r="D12" s="24">
        <f>IFERROR(VLOOKUP(A12,[1]!TablaEquipos[#Data],2,FALSE),0)</f>
        <v>0</v>
      </c>
      <c r="E12" s="25">
        <f>B12*D12</f>
        <v>0</v>
      </c>
      <c r="F12" s="310"/>
    </row>
    <row r="13" spans="1:6" x14ac:dyDescent="0.35">
      <c r="A13" s="24"/>
      <c r="B13" s="22"/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/>
      <c r="B14" s="22"/>
      <c r="C14" s="23"/>
      <c r="D14" s="24">
        <f>IFERROR(VLOOKUP(A14,[1]!TablaEquipos[#Data],2,FALSE),0)</f>
        <v>0</v>
      </c>
      <c r="E14" s="25">
        <f>B14*C14*D14</f>
        <v>0</v>
      </c>
      <c r="F14" s="310"/>
    </row>
    <row r="15" spans="1:6" x14ac:dyDescent="0.35">
      <c r="A15" s="24"/>
      <c r="B15" s="22"/>
      <c r="C15" s="23"/>
      <c r="D15" s="24">
        <f>IFERROR(VLOOKUP(A15,[1]!TablaEquipos[#Data],2,FALSE),0)</f>
        <v>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168"/>
    </row>
    <row r="24" spans="1:6" x14ac:dyDescent="0.35">
      <c r="A24" s="24"/>
      <c r="B24" s="22"/>
      <c r="C24" s="29"/>
      <c r="D24" s="27">
        <f>IFERROR(VLOOKUP(A24,[1]!TablaMateriales[#Data],2,FALSE),0)</f>
        <v>0</v>
      </c>
      <c r="E24" s="25">
        <f>B24*D24</f>
        <v>0</v>
      </c>
      <c r="F24" s="155"/>
    </row>
    <row r="25" spans="1:6" x14ac:dyDescent="0.35">
      <c r="A25" s="30"/>
      <c r="B25" s="22"/>
      <c r="C25" s="29"/>
      <c r="D25" s="27">
        <f>IFERROR(VLOOKUP(A25,[1]!TablaMateriales[#Data],2,FALSE),0)</f>
        <v>0</v>
      </c>
      <c r="E25" s="25">
        <f>B25*D25</f>
        <v>0</v>
      </c>
      <c r="F25" s="155"/>
    </row>
    <row r="26" spans="1:6" x14ac:dyDescent="0.35">
      <c r="A26" s="30"/>
      <c r="B26" s="22"/>
      <c r="C26" s="29"/>
      <c r="D26" s="27">
        <f>IFERROR(VLOOKUP(A26,[1]!TablaMateriales[#Data],2,FALSE),0)</f>
        <v>0</v>
      </c>
      <c r="E26" s="25">
        <f>B26*D26</f>
        <v>0</v>
      </c>
      <c r="F26" s="155"/>
    </row>
    <row r="27" spans="1:6" x14ac:dyDescent="0.35">
      <c r="A27" s="30"/>
      <c r="B27" s="22"/>
      <c r="C27" s="29"/>
      <c r="D27" s="27">
        <f>IFERROR(VLOOKUP(A27,[1]!TablaMateriales[#Data],2,FALSE),0)</f>
        <v>0</v>
      </c>
      <c r="E27" s="25">
        <f>B27*D27</f>
        <v>0</v>
      </c>
      <c r="F27" s="155"/>
    </row>
    <row r="28" spans="1:6" x14ac:dyDescent="0.35">
      <c r="A28" s="30"/>
      <c r="B28" s="22"/>
      <c r="C28" s="29"/>
      <c r="D28" s="27"/>
      <c r="E28" s="25"/>
      <c r="F28" s="155"/>
    </row>
    <row r="29" spans="1:6" x14ac:dyDescent="0.35">
      <c r="A29" s="30"/>
      <c r="B29" s="22"/>
      <c r="C29" s="29"/>
      <c r="D29" s="27"/>
      <c r="E29" s="25"/>
      <c r="F29" s="155"/>
    </row>
    <row r="30" spans="1:6" x14ac:dyDescent="0.35">
      <c r="A30" s="30"/>
      <c r="B30" s="22"/>
      <c r="C30" s="29"/>
      <c r="D30" s="27"/>
      <c r="E30" s="25"/>
      <c r="F30" s="155"/>
    </row>
    <row r="31" spans="1:6" x14ac:dyDescent="0.35">
      <c r="A31" s="30"/>
      <c r="B31" s="22"/>
      <c r="C31" s="29"/>
      <c r="D31" s="27"/>
      <c r="E31" s="25"/>
      <c r="F31" s="155"/>
    </row>
    <row r="32" spans="1:6" x14ac:dyDescent="0.35">
      <c r="A32" s="79"/>
      <c r="B32" s="22"/>
      <c r="C32" s="29"/>
      <c r="D32" s="27"/>
      <c r="E32" s="25"/>
      <c r="F32" s="155"/>
    </row>
    <row r="33" spans="1:6" x14ac:dyDescent="0.35">
      <c r="A33" s="30"/>
      <c r="B33" s="22"/>
      <c r="C33" s="29"/>
      <c r="D33" s="27"/>
      <c r="E33" s="25"/>
      <c r="F33" s="155"/>
    </row>
    <row r="34" spans="1:6" x14ac:dyDescent="0.35">
      <c r="A34" s="31"/>
      <c r="B34" s="22"/>
      <c r="C34" s="29"/>
      <c r="D34" s="27"/>
      <c r="E34" s="25"/>
      <c r="F34" s="155"/>
    </row>
    <row r="35" spans="1:6" x14ac:dyDescent="0.35">
      <c r="A35" s="31"/>
      <c r="B35" s="22"/>
      <c r="C35" s="29"/>
      <c r="D35" s="27"/>
      <c r="E35" s="25"/>
      <c r="F35" s="155"/>
    </row>
    <row r="36" spans="1:6" x14ac:dyDescent="0.35">
      <c r="A36" s="30"/>
      <c r="B36" s="22"/>
      <c r="C36" s="29"/>
      <c r="D36" s="27"/>
      <c r="E36" s="25"/>
      <c r="F36" s="155"/>
    </row>
    <row r="37" spans="1:6" x14ac:dyDescent="0.35">
      <c r="A37" s="30"/>
      <c r="B37" s="22"/>
      <c r="C37" s="29"/>
      <c r="D37" s="27"/>
      <c r="E37" s="25"/>
      <c r="F37" s="155"/>
    </row>
    <row r="38" spans="1:6" x14ac:dyDescent="0.35">
      <c r="A38" s="30"/>
      <c r="B38" s="22"/>
      <c r="C38" s="29"/>
      <c r="D38" s="27"/>
      <c r="E38" s="25"/>
      <c r="F38" s="155"/>
    </row>
    <row r="39" spans="1:6" x14ac:dyDescent="0.35">
      <c r="A39" s="30"/>
      <c r="B39" s="22"/>
      <c r="C39" s="29"/>
      <c r="D39" s="27"/>
      <c r="E39" s="25"/>
      <c r="F39" s="155"/>
    </row>
    <row r="40" spans="1:6" x14ac:dyDescent="0.35">
      <c r="A40" s="30"/>
      <c r="B40" s="22"/>
      <c r="C40" s="29"/>
      <c r="D40" s="27"/>
      <c r="E40" s="25"/>
      <c r="F40" s="155"/>
    </row>
    <row r="41" spans="1:6" x14ac:dyDescent="0.35">
      <c r="A41" s="30"/>
      <c r="B41" s="78"/>
      <c r="C41" s="23"/>
      <c r="D41" s="27">
        <f>IFERROR(VLOOKUP(A28,[1]!TablaMateriales[#Data],2,FALSE),0)</f>
        <v>0</v>
      </c>
      <c r="E41" s="25">
        <f>B41*D41</f>
        <v>0</v>
      </c>
      <c r="F41" s="155"/>
    </row>
    <row r="42" spans="1:6" x14ac:dyDescent="0.35">
      <c r="A42" s="30"/>
      <c r="B42" s="78"/>
      <c r="C42" s="23"/>
      <c r="D42" s="27">
        <f>IFERROR(VLOOKUP(A29,[1]!TablaMateriales[#Data],2,FALSE),0)</f>
        <v>0</v>
      </c>
      <c r="E42" s="25">
        <f t="shared" ref="E42:E48" si="1">B42*D42</f>
        <v>0</v>
      </c>
      <c r="F42" s="155"/>
    </row>
    <row r="43" spans="1:6" x14ac:dyDescent="0.35">
      <c r="A43" s="30"/>
      <c r="B43" s="78"/>
      <c r="C43" s="23"/>
      <c r="D43" s="27">
        <f>IFERROR(VLOOKUP(A30,[1]!TablaMateriales[#Data],2,FALSE),0)</f>
        <v>0</v>
      </c>
      <c r="E43" s="25">
        <f t="shared" si="1"/>
        <v>0</v>
      </c>
      <c r="F43" s="155"/>
    </row>
    <row r="44" spans="1:6" x14ac:dyDescent="0.35">
      <c r="A44" s="30"/>
      <c r="B44" s="78"/>
      <c r="C44" s="23"/>
      <c r="D44" s="27">
        <f>IFERROR(VLOOKUP(A31,[1]!TablaMateriales[#Data],2,FALSE),0)</f>
        <v>0</v>
      </c>
      <c r="E44" s="25">
        <f t="shared" si="1"/>
        <v>0</v>
      </c>
      <c r="F44" s="155"/>
    </row>
    <row r="45" spans="1:6" x14ac:dyDescent="0.35">
      <c r="A45" s="30"/>
      <c r="B45" s="78"/>
      <c r="C45" s="23"/>
      <c r="D45" s="27">
        <f>IFERROR(VLOOKUP(A32,[1]!TablaMateriales[#Data],2,FALSE),0)</f>
        <v>0</v>
      </c>
      <c r="E45" s="25">
        <f t="shared" si="1"/>
        <v>0</v>
      </c>
      <c r="F45" s="155"/>
    </row>
    <row r="46" spans="1:6" x14ac:dyDescent="0.35">
      <c r="A46" s="30"/>
      <c r="B46" s="78"/>
      <c r="C46" s="23"/>
      <c r="D46" s="27">
        <f>IFERROR(VLOOKUP(A33,[1]!TablaMateriales[#Data],2,FALSE),0)</f>
        <v>0</v>
      </c>
      <c r="E46" s="25">
        <f t="shared" si="1"/>
        <v>0</v>
      </c>
      <c r="F46" s="155"/>
    </row>
    <row r="47" spans="1:6" x14ac:dyDescent="0.35">
      <c r="A47" s="30"/>
      <c r="B47" s="78"/>
      <c r="C47" s="23"/>
      <c r="D47" s="27">
        <f>IFERROR(VLOOKUP(A34,[1]!TablaMateriales[#Data],2,FALSE),0)</f>
        <v>0</v>
      </c>
      <c r="E47" s="25">
        <f t="shared" si="1"/>
        <v>0</v>
      </c>
      <c r="F47" s="155"/>
    </row>
    <row r="48" spans="1:6" x14ac:dyDescent="0.35">
      <c r="A48" s="30"/>
      <c r="B48" s="78"/>
      <c r="C48" s="23"/>
      <c r="D48" s="27">
        <f>IFERROR(VLOOKUP(A35,[1]!TablaMateriales[#Data],2,FALSE),0)</f>
        <v>0</v>
      </c>
      <c r="E48" s="27">
        <f t="shared" si="1"/>
        <v>0</v>
      </c>
      <c r="F48" s="173"/>
    </row>
    <row r="49" spans="1:6" x14ac:dyDescent="0.35">
      <c r="A49" s="31"/>
      <c r="B49" s="78"/>
      <c r="C49" s="23"/>
      <c r="D49" s="27">
        <f>IFERROR(VLOOKUP(A49,[1]!TablaMateriales[#Data],2,FALSE),0)</f>
        <v>0</v>
      </c>
      <c r="E49" s="27"/>
      <c r="F49" s="173"/>
    </row>
    <row r="50" spans="1:6" x14ac:dyDescent="0.35">
      <c r="A50" s="31"/>
      <c r="B50" s="78"/>
      <c r="C50" s="23"/>
      <c r="D50" s="27">
        <f>IFERROR(VLOOKUP(A50,[1]!TablaMateriales[#Data],2,FALSE),0)</f>
        <v>0</v>
      </c>
      <c r="E50" s="27"/>
      <c r="F50" s="173"/>
    </row>
    <row r="51" spans="1:6" x14ac:dyDescent="0.35">
      <c r="A51" s="31"/>
      <c r="B51" s="78"/>
      <c r="C51" s="23"/>
      <c r="D51" s="27">
        <f>IFERROR(VLOOKUP(A51,[1]!TablaMateriales[#Data],2,FALSE),0)</f>
        <v>0</v>
      </c>
      <c r="E51" s="27"/>
      <c r="F51" s="173"/>
    </row>
    <row r="52" spans="1:6" x14ac:dyDescent="0.35">
      <c r="A52" s="31"/>
      <c r="B52" s="78"/>
      <c r="C52" s="23"/>
      <c r="D52" s="27">
        <f>IFERROR(VLOOKUP(A52,[1]!TablaMateriales[#Data],2,FALSE),0)</f>
        <v>0</v>
      </c>
      <c r="E52" s="27"/>
      <c r="F52" s="173"/>
    </row>
    <row r="53" spans="1:6" ht="15" thickBot="1" x14ac:dyDescent="0.4">
      <c r="A53" s="31"/>
      <c r="B53" s="78"/>
      <c r="C53" s="23"/>
      <c r="D53" s="27">
        <f>IFERROR(VLOOKUP(A53,[1]!TablaMateriales[#Data],2,FALSE),0)</f>
        <v>0</v>
      </c>
      <c r="E53" s="27"/>
      <c r="F53" s="173"/>
    </row>
    <row r="54" spans="1:6" ht="15" thickBot="1" x14ac:dyDescent="0.4">
      <c r="A54" s="296"/>
      <c r="B54" s="297"/>
      <c r="C54" s="297"/>
      <c r="D54" s="297"/>
      <c r="E54" s="298"/>
      <c r="F54" s="28">
        <f>SUM(E24:E53)</f>
        <v>0</v>
      </c>
    </row>
    <row r="55" spans="1:6" x14ac:dyDescent="0.35">
      <c r="A55" s="33" t="s">
        <v>88</v>
      </c>
      <c r="B55" s="34" t="s">
        <v>83</v>
      </c>
      <c r="C55" s="35" t="s">
        <v>84</v>
      </c>
      <c r="D55" s="36" t="s">
        <v>89</v>
      </c>
      <c r="E55" s="37" t="s">
        <v>86</v>
      </c>
      <c r="F55" s="168"/>
    </row>
    <row r="56" spans="1:6" x14ac:dyDescent="0.35">
      <c r="A56" s="38"/>
      <c r="B56" s="34">
        <v>1</v>
      </c>
      <c r="C56" s="35">
        <v>29.4</v>
      </c>
      <c r="D56" s="39">
        <f>IFERROR(VLOOKUP(A56,[1]!Tabla8[#Data],3,FALSE),0)</f>
        <v>0</v>
      </c>
      <c r="E56" s="37">
        <f t="shared" ref="E56:E61" si="2">B56*C56*D56</f>
        <v>0</v>
      </c>
      <c r="F56" s="155"/>
    </row>
    <row r="57" spans="1:6" x14ac:dyDescent="0.35">
      <c r="A57" s="107"/>
      <c r="B57" s="20">
        <v>1</v>
      </c>
      <c r="C57" s="40">
        <v>29.4</v>
      </c>
      <c r="D57" s="39">
        <f>IFERROR(VLOOKUP(A57,[1]!Tabla8[#Data],3,FALSE),0)</f>
        <v>0</v>
      </c>
      <c r="E57" s="21">
        <f t="shared" si="2"/>
        <v>0</v>
      </c>
      <c r="F57" s="155"/>
    </row>
    <row r="58" spans="1:6" x14ac:dyDescent="0.35">
      <c r="A58" s="107"/>
      <c r="B58" s="20">
        <v>2</v>
      </c>
      <c r="C58" s="40">
        <v>29.4</v>
      </c>
      <c r="D58" s="39">
        <f>IFERROR(VLOOKUP(A58,[1]!Tabla8[#Data],3,FALSE),0)</f>
        <v>0</v>
      </c>
      <c r="E58" s="21">
        <f t="shared" si="2"/>
        <v>0</v>
      </c>
      <c r="F58" s="155"/>
    </row>
    <row r="59" spans="1:6" x14ac:dyDescent="0.35">
      <c r="A59" s="107"/>
      <c r="B59" s="20">
        <v>1</v>
      </c>
      <c r="C59" s="40">
        <v>29.4</v>
      </c>
      <c r="D59" s="39">
        <f>IFERROR(VLOOKUP(A59,[1]!Tabla8[#Data],3,FALSE),0)</f>
        <v>0</v>
      </c>
      <c r="E59" s="21">
        <f t="shared" si="2"/>
        <v>0</v>
      </c>
      <c r="F59" s="155"/>
    </row>
    <row r="60" spans="1:6" x14ac:dyDescent="0.35">
      <c r="A60" s="107"/>
      <c r="B60" s="20">
        <v>1</v>
      </c>
      <c r="C60" s="40">
        <v>29.4</v>
      </c>
      <c r="D60" s="39">
        <f>IFERROR(VLOOKUP(A60,[1]!Tabla8[#Data],3,FALSE),0)</f>
        <v>0</v>
      </c>
      <c r="E60" s="21">
        <f t="shared" si="2"/>
        <v>0</v>
      </c>
      <c r="F60" s="155"/>
    </row>
    <row r="61" spans="1:6" x14ac:dyDescent="0.35">
      <c r="A61" s="107"/>
      <c r="B61" s="20"/>
      <c r="C61" s="40"/>
      <c r="D61" s="39">
        <f>IFERROR(VLOOKUP(A61,[1]!Tabla8[#Data],3,FALSE),0)</f>
        <v>0</v>
      </c>
      <c r="E61" s="21">
        <f t="shared" si="2"/>
        <v>0</v>
      </c>
      <c r="F61" s="155"/>
    </row>
    <row r="62" spans="1:6" x14ac:dyDescent="0.35">
      <c r="A62" s="287">
        <v>3</v>
      </c>
      <c r="B62" s="287"/>
      <c r="C62" s="287"/>
      <c r="D62" s="287"/>
      <c r="E62" s="287"/>
      <c r="F62" s="42">
        <f>SUM(E56:E61)</f>
        <v>0</v>
      </c>
    </row>
    <row r="63" spans="1:6" x14ac:dyDescent="0.35">
      <c r="A63" s="33" t="s">
        <v>279</v>
      </c>
      <c r="B63" s="34" t="s">
        <v>83</v>
      </c>
      <c r="C63" s="35" t="s">
        <v>84</v>
      </c>
      <c r="D63" s="36" t="s">
        <v>269</v>
      </c>
      <c r="E63" s="37" t="s">
        <v>86</v>
      </c>
      <c r="F63" s="283"/>
    </row>
    <row r="64" spans="1:6" x14ac:dyDescent="0.35">
      <c r="A64" s="108"/>
      <c r="B64" s="108"/>
      <c r="C64" s="108"/>
      <c r="D64" s="108">
        <f>IFERROR(VLOOKUP(A64,[1]!TablaTransporte[#Data],2,FALSE),0)</f>
        <v>0</v>
      </c>
      <c r="E64" s="110">
        <f>B64*C64*D64</f>
        <v>0</v>
      </c>
      <c r="F64" s="284"/>
    </row>
    <row r="65" spans="1:6" x14ac:dyDescent="0.35">
      <c r="A65" s="108"/>
      <c r="B65" s="108"/>
      <c r="C65" s="108"/>
      <c r="D65" s="108">
        <f>IFERROR(VLOOKUP(A65,[1]!TablaTransporte[#Data],2,FALSE),0)</f>
        <v>0</v>
      </c>
      <c r="E65" s="110">
        <f>B65*C65*D65</f>
        <v>0</v>
      </c>
      <c r="F65" s="284"/>
    </row>
    <row r="66" spans="1:6" x14ac:dyDescent="0.35">
      <c r="A66" s="41"/>
      <c r="B66" s="41"/>
      <c r="C66" s="41"/>
      <c r="D66" s="108">
        <f>IFERROR(VLOOKUP(A66,[1]!TablaTransporte[#Data],2,FALSE),0)</f>
        <v>0</v>
      </c>
      <c r="E66" s="110">
        <f>B66*C66*D66</f>
        <v>0</v>
      </c>
      <c r="F66" s="284"/>
    </row>
    <row r="67" spans="1:6" x14ac:dyDescent="0.35">
      <c r="A67" s="41"/>
      <c r="B67" s="41"/>
      <c r="C67" s="41"/>
      <c r="D67" s="108">
        <f>IFERROR(VLOOKUP(A67,[1]!TablaTransporte[#Data],2,FALSE),0)</f>
        <v>0</v>
      </c>
      <c r="E67" s="110">
        <f>B67*C67*D67</f>
        <v>0</v>
      </c>
      <c r="F67" s="285"/>
    </row>
    <row r="68" spans="1:6" x14ac:dyDescent="0.35">
      <c r="A68" s="43"/>
      <c r="B68" s="43"/>
      <c r="C68" s="43"/>
      <c r="D68" s="43"/>
      <c r="E68" s="43"/>
      <c r="F68" s="42">
        <f>SUM(E64:E67)</f>
        <v>0</v>
      </c>
    </row>
    <row r="69" spans="1:6" x14ac:dyDescent="0.35">
      <c r="A69" s="288"/>
      <c r="B69" s="289"/>
      <c r="C69" s="289"/>
      <c r="D69" s="289"/>
      <c r="E69" s="290"/>
      <c r="F69" s="42">
        <f>F22+F54+F62+F68</f>
        <v>0</v>
      </c>
    </row>
    <row r="70" spans="1:6" ht="15" thickBot="1" x14ac:dyDescent="0.4">
      <c r="A70" s="291">
        <v>0.15</v>
      </c>
      <c r="B70" s="292"/>
      <c r="C70" s="292"/>
      <c r="D70" s="292"/>
      <c r="E70" s="293"/>
      <c r="F70" s="44">
        <f>F69*A70</f>
        <v>0</v>
      </c>
    </row>
    <row r="71" spans="1:6" ht="15" thickBot="1" x14ac:dyDescent="0.4">
      <c r="A71" s="299"/>
      <c r="B71" s="300"/>
      <c r="C71" s="300"/>
      <c r="D71" s="300"/>
      <c r="E71" s="301"/>
      <c r="F71" s="28">
        <f>F69+F70</f>
        <v>0</v>
      </c>
    </row>
    <row r="72" spans="1:6" ht="15" thickBot="1" x14ac:dyDescent="0.4">
      <c r="A72" s="302">
        <v>0.1</v>
      </c>
      <c r="B72" s="300"/>
      <c r="C72" s="300"/>
      <c r="D72" s="300"/>
      <c r="E72" s="301"/>
      <c r="F72" s="28">
        <f>F71*A72</f>
        <v>0</v>
      </c>
    </row>
    <row r="73" spans="1:6" ht="15" thickBot="1" x14ac:dyDescent="0.4">
      <c r="A73" s="286"/>
      <c r="B73" s="286"/>
      <c r="C73" s="286"/>
      <c r="D73" s="286"/>
      <c r="E73" s="286"/>
      <c r="F73" s="28">
        <f>F71+F72</f>
        <v>0</v>
      </c>
    </row>
    <row r="74" spans="1:6" x14ac:dyDescent="0.35">
      <c r="F74" s="80">
        <f>F73/F3</f>
        <v>0</v>
      </c>
    </row>
  </sheetData>
  <mergeCells count="11">
    <mergeCell ref="A72:E72"/>
    <mergeCell ref="A73:E73"/>
    <mergeCell ref="A62:E62"/>
    <mergeCell ref="F63:F67"/>
    <mergeCell ref="A69:E69"/>
    <mergeCell ref="A70:E70"/>
    <mergeCell ref="A54:E54"/>
    <mergeCell ref="A1:F1"/>
    <mergeCell ref="F4:F21"/>
    <mergeCell ref="A22:E22"/>
    <mergeCell ref="A71:E71"/>
  </mergeCells>
  <dataValidations count="4">
    <dataValidation type="list" allowBlank="1" showInputMessage="1" showErrorMessage="1" sqref="A3 A7:A22" xr:uid="{5153A058-4992-4684-B1C6-4F140F757C7F}">
      <formula1>ListaEquipos</formula1>
    </dataValidation>
    <dataValidation type="list" allowBlank="1" showInputMessage="1" showErrorMessage="1" sqref="A65:A67" xr:uid="{D62A8B4D-B0A0-4484-B438-F1A8746FE7CF}">
      <formula1>ListaTransporte</formula1>
    </dataValidation>
    <dataValidation type="list" allowBlank="1" showInputMessage="1" showErrorMessage="1" sqref="A24:A54" xr:uid="{A5421C5D-91AB-404D-9CD0-543B8321F0A7}">
      <formula1>ListaMateriales</formula1>
    </dataValidation>
    <dataValidation type="list" allowBlank="1" showInputMessage="1" showErrorMessage="1" sqref="A56:A61" xr:uid="{DE05AC19-68A4-49E8-99BE-989634C06467}">
      <formula1>ListaProfesiones</formula1>
    </dataValidation>
  </dataValidation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5E19-A33B-4732-A657-C301760A06AB}">
  <dimension ref="A1:F63"/>
  <sheetViews>
    <sheetView workbookViewId="0">
      <selection sqref="A1:F1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210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ACTUALIZADO'!C59</f>
        <v>ML</v>
      </c>
    </row>
    <row r="3" spans="1:6" x14ac:dyDescent="0.35">
      <c r="A3" s="33"/>
      <c r="B3" s="34"/>
      <c r="C3" s="45"/>
      <c r="D3" s="46"/>
      <c r="E3" s="37"/>
      <c r="F3" s="77">
        <f>'RESUMEN ACTUALIZADO'!D59</f>
        <v>65</v>
      </c>
    </row>
    <row r="4" spans="1:6" x14ac:dyDescent="0.35">
      <c r="A4" s="24" t="s">
        <v>225</v>
      </c>
      <c r="B4" s="22">
        <v>2</v>
      </c>
      <c r="C4" s="23"/>
      <c r="D4" s="24">
        <f>IFERROR(VLOOKUP(A4,[1]!TablaEquipos[#Data],2,FALSE),0)</f>
        <v>1500</v>
      </c>
      <c r="E4" s="25">
        <f t="shared" ref="E4:E11" si="0">B4*C4*D4</f>
        <v>0</v>
      </c>
      <c r="F4" s="310"/>
    </row>
    <row r="5" spans="1:6" x14ac:dyDescent="0.35">
      <c r="A5" s="26" t="s">
        <v>226</v>
      </c>
      <c r="B5" s="22">
        <v>1</v>
      </c>
      <c r="C5" s="23"/>
      <c r="D5" s="24">
        <f>IFERROR(VLOOKUP(A5,[1]!TablaEquipos[#Data],2,FALSE),0)</f>
        <v>700</v>
      </c>
      <c r="E5" s="25">
        <f t="shared" si="0"/>
        <v>0</v>
      </c>
      <c r="F5" s="310"/>
    </row>
    <row r="6" spans="1:6" x14ac:dyDescent="0.35">
      <c r="A6" s="26" t="s">
        <v>227</v>
      </c>
      <c r="B6" s="22">
        <v>4</v>
      </c>
      <c r="C6" s="23"/>
      <c r="D6" s="24">
        <f>IFERROR(VLOOKUP(A6,[1]!TablaEquipos[#Data],2,FALSE),0)</f>
        <v>700</v>
      </c>
      <c r="E6" s="25">
        <f t="shared" si="0"/>
        <v>0</v>
      </c>
      <c r="F6" s="310"/>
    </row>
    <row r="7" spans="1:6" x14ac:dyDescent="0.35">
      <c r="A7" s="24" t="s">
        <v>228</v>
      </c>
      <c r="B7" s="22">
        <v>4</v>
      </c>
      <c r="C7" s="23"/>
      <c r="D7" s="24">
        <f>IFERROR(VLOOKUP(A7,[1]!TablaEquipos[#Data],2,FALSE),0)</f>
        <v>1500</v>
      </c>
      <c r="E7" s="25">
        <f t="shared" si="0"/>
        <v>0</v>
      </c>
      <c r="F7" s="310"/>
    </row>
    <row r="8" spans="1:6" x14ac:dyDescent="0.35">
      <c r="A8" s="26" t="s">
        <v>230</v>
      </c>
      <c r="B8" s="22">
        <v>1</v>
      </c>
      <c r="C8" s="23"/>
      <c r="D8" s="24">
        <f>IFERROR(VLOOKUP(A8,[1]!TablaEquipos[#Data],2,FALSE),0)</f>
        <v>15000</v>
      </c>
      <c r="E8" s="25">
        <f t="shared" si="0"/>
        <v>0</v>
      </c>
      <c r="F8" s="310"/>
    </row>
    <row r="9" spans="1:6" x14ac:dyDescent="0.35">
      <c r="A9" s="24" t="s">
        <v>231</v>
      </c>
      <c r="B9" s="22">
        <v>2</v>
      </c>
      <c r="C9" s="23"/>
      <c r="D9" s="24">
        <f>IFERROR(VLOOKUP(A9,[1]!TablaEquipos[#Data],2,FALSE),0)</f>
        <v>1500</v>
      </c>
      <c r="E9" s="25">
        <f t="shared" si="0"/>
        <v>0</v>
      </c>
      <c r="F9" s="310"/>
    </row>
    <row r="10" spans="1:6" x14ac:dyDescent="0.35">
      <c r="A10" s="81" t="s">
        <v>232</v>
      </c>
      <c r="B10" s="82">
        <v>1</v>
      </c>
      <c r="C10" s="32"/>
      <c r="D10" s="81">
        <f>IFERROR(VLOOKUP(A10,[1]!TablaEquipos[#Data],2,FALSE),0)</f>
        <v>500</v>
      </c>
      <c r="E10" s="83">
        <f t="shared" si="0"/>
        <v>0</v>
      </c>
      <c r="F10" s="310"/>
    </row>
    <row r="11" spans="1:6" x14ac:dyDescent="0.35">
      <c r="A11" s="24" t="s">
        <v>233</v>
      </c>
      <c r="B11" s="22">
        <v>1</v>
      </c>
      <c r="C11" s="23"/>
      <c r="D11" s="24">
        <f>IFERROR(VLOOKUP(A11,[1]!TablaEquipos[#Data],2,FALSE),0)</f>
        <v>500</v>
      </c>
      <c r="E11" s="25">
        <f t="shared" si="0"/>
        <v>0</v>
      </c>
      <c r="F11" s="310"/>
    </row>
    <row r="12" spans="1:6" x14ac:dyDescent="0.35">
      <c r="A12" s="24" t="s">
        <v>234</v>
      </c>
      <c r="B12" s="22"/>
      <c r="C12" s="23"/>
      <c r="D12" s="24">
        <f>IFERROR(VLOOKUP(A12,[1]!TablaEquipos[#Data],2,FALSE),0)</f>
        <v>135000</v>
      </c>
      <c r="E12" s="25">
        <f>B12*D12</f>
        <v>0</v>
      </c>
      <c r="F12" s="310"/>
    </row>
    <row r="13" spans="1:6" x14ac:dyDescent="0.35">
      <c r="A13" s="24" t="s">
        <v>235</v>
      </c>
      <c r="B13" s="22">
        <v>2</v>
      </c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 t="s">
        <v>236</v>
      </c>
      <c r="B14" s="22">
        <v>2</v>
      </c>
      <c r="C14" s="23"/>
      <c r="D14" s="24">
        <f>IFERROR(VLOOKUP(A14,[1]!TablaEquipos[#Data],2,FALSE),0)</f>
        <v>9000</v>
      </c>
      <c r="E14" s="25">
        <f>B14*C14*D14</f>
        <v>0</v>
      </c>
      <c r="F14" s="310"/>
    </row>
    <row r="15" spans="1:6" x14ac:dyDescent="0.35">
      <c r="A15" s="24" t="s">
        <v>237</v>
      </c>
      <c r="B15" s="22">
        <v>2</v>
      </c>
      <c r="C15" s="23"/>
      <c r="D15" s="24">
        <f>IFERROR(VLOOKUP(A15,[1]!TablaEquipos[#Data],2,FALSE),0)</f>
        <v>1000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253</v>
      </c>
      <c r="B24" s="22"/>
      <c r="C24" s="29"/>
      <c r="D24" s="27">
        <f>IFERROR(VLOOKUP(A24,[1]!TablaMateriales[#Data],2,FALSE),0)</f>
        <v>35000</v>
      </c>
      <c r="E24" s="25">
        <f>B24*D24</f>
        <v>0</v>
      </c>
      <c r="F24" s="281"/>
    </row>
    <row r="25" spans="1:6" x14ac:dyDescent="0.35">
      <c r="A25" s="30" t="s">
        <v>254</v>
      </c>
      <c r="B25" s="22"/>
      <c r="C25" s="29"/>
      <c r="D25" s="27">
        <f>IFERROR(VLOOKUP(A25,[1]!TablaMateriales[#Data],2,FALSE),0)</f>
        <v>20000</v>
      </c>
      <c r="E25" s="25">
        <f>B25*D25</f>
        <v>0</v>
      </c>
      <c r="F25" s="281"/>
    </row>
    <row r="26" spans="1:6" x14ac:dyDescent="0.35">
      <c r="A26" s="30" t="s">
        <v>255</v>
      </c>
      <c r="B26" s="22"/>
      <c r="C26" s="29"/>
      <c r="D26" s="27">
        <f>IFERROR(VLOOKUP(A26,[1]!TablaMateriales[#Data],2,FALSE),0)</f>
        <v>50000</v>
      </c>
      <c r="E26" s="25">
        <f>B26*D26</f>
        <v>0</v>
      </c>
      <c r="F26" s="281"/>
    </row>
    <row r="27" spans="1:6" x14ac:dyDescent="0.35">
      <c r="A27" s="30" t="s">
        <v>256</v>
      </c>
      <c r="B27" s="22"/>
      <c r="C27" s="29"/>
      <c r="D27" s="27">
        <f>IFERROR(VLOOKUP(A27,[1]!TablaMateriales[#Data],2,FALSE),0)</f>
        <v>0</v>
      </c>
      <c r="E27" s="25">
        <f>B27*D27</f>
        <v>0</v>
      </c>
      <c r="F27" s="281"/>
    </row>
    <row r="28" spans="1:6" x14ac:dyDescent="0.35">
      <c r="A28" s="30" t="s">
        <v>257</v>
      </c>
      <c r="B28" s="78"/>
      <c r="C28" s="23"/>
      <c r="D28" s="27">
        <f>IFERROR(VLOOKUP(A28,[1]!TablaMateriales[#Data],2,FALSE),0)</f>
        <v>9500</v>
      </c>
      <c r="E28" s="25">
        <f>B28*D28</f>
        <v>0</v>
      </c>
      <c r="F28" s="281"/>
    </row>
    <row r="29" spans="1:6" x14ac:dyDescent="0.35">
      <c r="A29" s="30" t="s">
        <v>258</v>
      </c>
      <c r="B29" s="78"/>
      <c r="C29" s="23"/>
      <c r="D29" s="27">
        <f>IFERROR(VLOOKUP(A29,[1]!TablaMateriales[#Data],2,FALSE),0)</f>
        <v>9500</v>
      </c>
      <c r="E29" s="25">
        <f t="shared" ref="E29:E35" si="1">B29*D29</f>
        <v>0</v>
      </c>
      <c r="F29" s="281"/>
    </row>
    <row r="30" spans="1:6" x14ac:dyDescent="0.35">
      <c r="A30" s="30" t="s">
        <v>259</v>
      </c>
      <c r="B30" s="78"/>
      <c r="C30" s="23"/>
      <c r="D30" s="27">
        <f>IFERROR(VLOOKUP(A30,[1]!TablaMateriales[#Data],2,FALSE),0)</f>
        <v>15000</v>
      </c>
      <c r="E30" s="25">
        <f t="shared" si="1"/>
        <v>0</v>
      </c>
      <c r="F30" s="281"/>
    </row>
    <row r="31" spans="1:6" x14ac:dyDescent="0.35">
      <c r="A31" s="30" t="s">
        <v>260</v>
      </c>
      <c r="B31" s="78"/>
      <c r="C31" s="23"/>
      <c r="D31" s="27">
        <f>IFERROR(VLOOKUP(A31,[1]!TablaMateriales[#Data],2,FALSE),0)</f>
        <v>20000</v>
      </c>
      <c r="E31" s="25">
        <f t="shared" si="1"/>
        <v>0</v>
      </c>
      <c r="F31" s="281"/>
    </row>
    <row r="32" spans="1:6" ht="23" x14ac:dyDescent="0.35">
      <c r="A32" s="79" t="s">
        <v>261</v>
      </c>
      <c r="B32" s="78"/>
      <c r="C32" s="23"/>
      <c r="D32" s="27">
        <f>IFERROR(VLOOKUP(A32,[1]!TablaMateriales[#Data],2,FALSE),0)</f>
        <v>55000</v>
      </c>
      <c r="E32" s="25">
        <f t="shared" si="1"/>
        <v>0</v>
      </c>
      <c r="F32" s="281"/>
    </row>
    <row r="33" spans="1:6" x14ac:dyDescent="0.35">
      <c r="A33" s="30" t="s">
        <v>262</v>
      </c>
      <c r="B33" s="78"/>
      <c r="C33" s="23"/>
      <c r="D33" s="27">
        <f>IFERROR(VLOOKUP(A33,[1]!TablaMateriales[#Data],2,FALSE),0)</f>
        <v>15900</v>
      </c>
      <c r="E33" s="25">
        <f t="shared" si="1"/>
        <v>0</v>
      </c>
      <c r="F33" s="281"/>
    </row>
    <row r="34" spans="1:6" x14ac:dyDescent="0.35">
      <c r="A34" s="31" t="s">
        <v>263</v>
      </c>
      <c r="B34" s="78"/>
      <c r="C34" s="23"/>
      <c r="D34" s="27">
        <f>IFERROR(VLOOKUP(A34,[1]!TablaMateriales[#Data],2,FALSE),0)</f>
        <v>14000</v>
      </c>
      <c r="E34" s="25">
        <f t="shared" si="1"/>
        <v>0</v>
      </c>
      <c r="F34" s="281"/>
    </row>
    <row r="35" spans="1:6" x14ac:dyDescent="0.35">
      <c r="A35" s="31" t="s">
        <v>264</v>
      </c>
      <c r="B35" s="78"/>
      <c r="C35" s="23"/>
      <c r="D35" s="27">
        <f>IFERROR(VLOOKUP(A35,[1]!TablaMateriales[#Data],2,FALSE),0)</f>
        <v>3800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/>
      <c r="D43" s="39">
        <f>IFERROR(VLOOKUP(A43,[1]!Tabla8[#Data],3,FALSE),0)</f>
        <v>555393.74067333317</v>
      </c>
      <c r="E43" s="37">
        <f>B43*C43*D43</f>
        <v>0</v>
      </c>
      <c r="F43" s="281"/>
    </row>
    <row r="44" spans="1:6" x14ac:dyDescent="0.35">
      <c r="A44" s="107" t="s">
        <v>273</v>
      </c>
      <c r="B44" s="20">
        <v>1</v>
      </c>
      <c r="C44" s="40"/>
      <c r="D44" s="39">
        <f>IFERROR(VLOOKUP(A44,[1]!Tabla8[#Data],3,FALSE),0)</f>
        <v>555393.74067333317</v>
      </c>
      <c r="E44" s="21">
        <f t="shared" ref="E44:E50" si="2">B44*C44*D44</f>
        <v>0</v>
      </c>
      <c r="F44" s="281"/>
    </row>
    <row r="45" spans="1:6" x14ac:dyDescent="0.35">
      <c r="A45" s="107" t="s">
        <v>277</v>
      </c>
      <c r="B45" s="20">
        <v>1</v>
      </c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>
        <v>1.5</v>
      </c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>
        <v>2</v>
      </c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/>
      <c r="D48" s="39">
        <f>IFERROR(VLOOKUP(A48,[1]!Tabla8[#Data],3,FALSE),0)</f>
        <v>371571.3297066667</v>
      </c>
      <c r="E48" s="21">
        <f t="shared" si="2"/>
        <v>0</v>
      </c>
      <c r="F48" s="281"/>
    </row>
    <row r="49" spans="1:6" x14ac:dyDescent="0.35">
      <c r="A49" s="107" t="s">
        <v>223</v>
      </c>
      <c r="B49" s="20">
        <v>1</v>
      </c>
      <c r="C49" s="35"/>
      <c r="D49" s="39">
        <f>IFERROR(VLOOKUP(A49,[1]!Tabla8[#Data],3,FALSE),0)</f>
        <v>355821.87609999999</v>
      </c>
      <c r="E49" s="21">
        <f>B49*C49*D49</f>
        <v>0</v>
      </c>
      <c r="F49" s="281"/>
    </row>
    <row r="50" spans="1:6" x14ac:dyDescent="0.35">
      <c r="A50" s="107" t="s">
        <v>275</v>
      </c>
      <c r="B50" s="20">
        <v>2</v>
      </c>
      <c r="C50" s="40"/>
      <c r="D50" s="39">
        <f>IFERROR(VLOOKUP(A50,[1]!Tabla8[#Data],3,FALSE),0)</f>
        <v>382109.06042666658</v>
      </c>
      <c r="E50" s="21">
        <f t="shared" si="2"/>
        <v>0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0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08"/>
      <c r="D53" s="108">
        <f>IFERROR(VLOOKUP(A53,[1]!TablaTransporte[#Data],2,FALSE),0)</f>
        <v>550000</v>
      </c>
      <c r="E53" s="110">
        <f>B53*C53*D53</f>
        <v>0</v>
      </c>
      <c r="F53" s="284"/>
    </row>
    <row r="54" spans="1:6" x14ac:dyDescent="0.35">
      <c r="A54" s="108" t="s">
        <v>241</v>
      </c>
      <c r="B54" s="108">
        <v>1</v>
      </c>
      <c r="C54" s="108">
        <v>57</v>
      </c>
      <c r="D54" s="108">
        <f>IFERROR(VLOOKUP(A54,[1]!TablaTransporte[#Data],2,FALSE),0)</f>
        <v>65000</v>
      </c>
      <c r="E54" s="108">
        <f>B54*C54*D54</f>
        <v>3705000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3705000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3705000</v>
      </c>
    </row>
    <row r="59" spans="1:6" ht="15" thickBot="1" x14ac:dyDescent="0.4">
      <c r="A59" s="291">
        <v>0.15</v>
      </c>
      <c r="B59" s="292"/>
      <c r="C59" s="292"/>
      <c r="D59" s="292"/>
      <c r="E59" s="293"/>
      <c r="F59" s="44">
        <f>F58*A59</f>
        <v>555750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4260750</v>
      </c>
    </row>
    <row r="61" spans="1:6" ht="15" thickBot="1" x14ac:dyDescent="0.4">
      <c r="A61" s="302">
        <v>0.1</v>
      </c>
      <c r="B61" s="300"/>
      <c r="C61" s="300"/>
      <c r="D61" s="300"/>
      <c r="E61" s="301"/>
      <c r="F61" s="28">
        <f>F60*A61</f>
        <v>426075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4686825</v>
      </c>
    </row>
    <row r="63" spans="1:6" x14ac:dyDescent="0.35">
      <c r="F63" s="80">
        <f>F62/F3</f>
        <v>72105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187E91A4-D23D-4957-8C06-BF29BB8A8961}">
      <formula1>ListaMateriales</formula1>
    </dataValidation>
    <dataValidation type="list" allowBlank="1" showInputMessage="1" showErrorMessage="1" sqref="A3 A4 A5 A6 A7 A8 A9 A10 A11 A12 A13 A14 A15 A16 A17 A18 A19 A20 A21 A22" xr:uid="{D4A30738-E839-4609-A82E-D0E61918F65B}">
      <formula1>ListaEquipos</formula1>
    </dataValidation>
    <dataValidation type="list" allowBlank="1" showInputMessage="1" showErrorMessage="1" sqref="A54 A55 A56" xr:uid="{05A25BAE-AF16-4A33-8B07-8B55BE979876}">
      <formula1>ListaTransporte</formula1>
    </dataValidation>
    <dataValidation type="list" allowBlank="1" showInputMessage="1" showErrorMessage="1" sqref="A43:A50" xr:uid="{7C038B31-0F39-445E-B748-83B5057D11B9}">
      <formula1>ListaProfesiones</formula1>
    </dataValidation>
  </dataValidation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B991-DD1D-42F5-9998-C572B9CD240E}">
  <dimension ref="A1:F63"/>
  <sheetViews>
    <sheetView workbookViewId="0">
      <selection sqref="A1:F1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217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ACTUALIZADO'!C60</f>
        <v>ML</v>
      </c>
    </row>
    <row r="3" spans="1:6" x14ac:dyDescent="0.35">
      <c r="A3" s="33"/>
      <c r="B3" s="34"/>
      <c r="C3" s="45"/>
      <c r="D3" s="46"/>
      <c r="E3" s="37"/>
      <c r="F3" s="77">
        <f>'RESUMEN ACTUALIZADO'!D60</f>
        <v>62</v>
      </c>
    </row>
    <row r="4" spans="1:6" x14ac:dyDescent="0.35">
      <c r="A4" s="24" t="s">
        <v>225</v>
      </c>
      <c r="B4" s="22">
        <v>2</v>
      </c>
      <c r="C4" s="23"/>
      <c r="D4" s="24">
        <f>IFERROR(VLOOKUP(A4,[1]!TablaEquipos[#Data],2,FALSE),0)</f>
        <v>1500</v>
      </c>
      <c r="E4" s="25">
        <f t="shared" ref="E4:E11" si="0">B4*C4*D4</f>
        <v>0</v>
      </c>
      <c r="F4" s="310"/>
    </row>
    <row r="5" spans="1:6" x14ac:dyDescent="0.35">
      <c r="A5" s="26" t="s">
        <v>226</v>
      </c>
      <c r="B5" s="22">
        <v>1</v>
      </c>
      <c r="C5" s="23"/>
      <c r="D5" s="24">
        <f>IFERROR(VLOOKUP(A5,[1]!TablaEquipos[#Data],2,FALSE),0)</f>
        <v>700</v>
      </c>
      <c r="E5" s="25">
        <f t="shared" si="0"/>
        <v>0</v>
      </c>
      <c r="F5" s="310"/>
    </row>
    <row r="6" spans="1:6" x14ac:dyDescent="0.35">
      <c r="A6" s="26" t="s">
        <v>227</v>
      </c>
      <c r="B6" s="22">
        <v>4</v>
      </c>
      <c r="C6" s="23"/>
      <c r="D6" s="24">
        <f>IFERROR(VLOOKUP(A6,[1]!TablaEquipos[#Data],2,FALSE),0)</f>
        <v>700</v>
      </c>
      <c r="E6" s="25">
        <f t="shared" si="0"/>
        <v>0</v>
      </c>
      <c r="F6" s="310"/>
    </row>
    <row r="7" spans="1:6" x14ac:dyDescent="0.35">
      <c r="A7" s="24" t="s">
        <v>228</v>
      </c>
      <c r="B7" s="22">
        <v>4</v>
      </c>
      <c r="C7" s="23"/>
      <c r="D7" s="24">
        <f>IFERROR(VLOOKUP(A7,[1]!TablaEquipos[#Data],2,FALSE),0)</f>
        <v>1500</v>
      </c>
      <c r="E7" s="25">
        <f t="shared" si="0"/>
        <v>0</v>
      </c>
      <c r="F7" s="310"/>
    </row>
    <row r="8" spans="1:6" x14ac:dyDescent="0.35">
      <c r="A8" s="26" t="s">
        <v>230</v>
      </c>
      <c r="B8" s="22">
        <v>1</v>
      </c>
      <c r="C8" s="23"/>
      <c r="D8" s="24">
        <f>IFERROR(VLOOKUP(A8,[1]!TablaEquipos[#Data],2,FALSE),0)</f>
        <v>15000</v>
      </c>
      <c r="E8" s="25">
        <f t="shared" si="0"/>
        <v>0</v>
      </c>
      <c r="F8" s="310"/>
    </row>
    <row r="9" spans="1:6" x14ac:dyDescent="0.35">
      <c r="A9" s="24" t="s">
        <v>231</v>
      </c>
      <c r="B9" s="22">
        <v>2</v>
      </c>
      <c r="C9" s="23"/>
      <c r="D9" s="24">
        <f>IFERROR(VLOOKUP(A9,[1]!TablaEquipos[#Data],2,FALSE),0)</f>
        <v>1500</v>
      </c>
      <c r="E9" s="25">
        <f t="shared" si="0"/>
        <v>0</v>
      </c>
      <c r="F9" s="310"/>
    </row>
    <row r="10" spans="1:6" x14ac:dyDescent="0.35">
      <c r="A10" s="81" t="s">
        <v>232</v>
      </c>
      <c r="B10" s="82">
        <v>1</v>
      </c>
      <c r="C10" s="32"/>
      <c r="D10" s="81">
        <f>IFERROR(VLOOKUP(A10,[1]!TablaEquipos[#Data],2,FALSE),0)</f>
        <v>500</v>
      </c>
      <c r="E10" s="83">
        <f t="shared" si="0"/>
        <v>0</v>
      </c>
      <c r="F10" s="310"/>
    </row>
    <row r="11" spans="1:6" x14ac:dyDescent="0.35">
      <c r="A11" s="24" t="s">
        <v>233</v>
      </c>
      <c r="B11" s="22">
        <v>1</v>
      </c>
      <c r="C11" s="23"/>
      <c r="D11" s="24">
        <f>IFERROR(VLOOKUP(A11,[1]!TablaEquipos[#Data],2,FALSE),0)</f>
        <v>500</v>
      </c>
      <c r="E11" s="25">
        <f t="shared" si="0"/>
        <v>0</v>
      </c>
      <c r="F11" s="310"/>
    </row>
    <row r="12" spans="1:6" x14ac:dyDescent="0.35">
      <c r="A12" s="24" t="s">
        <v>234</v>
      </c>
      <c r="B12" s="22"/>
      <c r="C12" s="23"/>
      <c r="D12" s="24">
        <f>IFERROR(VLOOKUP(A12,[1]!TablaEquipos[#Data],2,FALSE),0)</f>
        <v>135000</v>
      </c>
      <c r="E12" s="25">
        <f>B12*D12</f>
        <v>0</v>
      </c>
      <c r="F12" s="310"/>
    </row>
    <row r="13" spans="1:6" x14ac:dyDescent="0.35">
      <c r="A13" s="24" t="s">
        <v>235</v>
      </c>
      <c r="B13" s="22">
        <v>2</v>
      </c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 t="s">
        <v>236</v>
      </c>
      <c r="B14" s="22">
        <v>2</v>
      </c>
      <c r="C14" s="23"/>
      <c r="D14" s="24">
        <f>IFERROR(VLOOKUP(A14,[1]!TablaEquipos[#Data],2,FALSE),0)</f>
        <v>9000</v>
      </c>
      <c r="E14" s="25">
        <f>B14*C14*D14</f>
        <v>0</v>
      </c>
      <c r="F14" s="310"/>
    </row>
    <row r="15" spans="1:6" x14ac:dyDescent="0.35">
      <c r="A15" s="24" t="s">
        <v>237</v>
      </c>
      <c r="B15" s="22">
        <v>2</v>
      </c>
      <c r="C15" s="23"/>
      <c r="D15" s="24">
        <f>IFERROR(VLOOKUP(A15,[1]!TablaEquipos[#Data],2,FALSE),0)</f>
        <v>1000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253</v>
      </c>
      <c r="B24" s="22"/>
      <c r="C24" s="29"/>
      <c r="D24" s="27">
        <f>IFERROR(VLOOKUP(A24,[1]!TablaMateriales[#Data],2,FALSE),0)</f>
        <v>35000</v>
      </c>
      <c r="E24" s="25">
        <f>B24*D24</f>
        <v>0</v>
      </c>
      <c r="F24" s="281"/>
    </row>
    <row r="25" spans="1:6" x14ac:dyDescent="0.35">
      <c r="A25" s="30" t="s">
        <v>254</v>
      </c>
      <c r="B25" s="22"/>
      <c r="C25" s="29"/>
      <c r="D25" s="27">
        <f>IFERROR(VLOOKUP(A25,[1]!TablaMateriales[#Data],2,FALSE),0)</f>
        <v>20000</v>
      </c>
      <c r="E25" s="25">
        <f>B25*D25</f>
        <v>0</v>
      </c>
      <c r="F25" s="281"/>
    </row>
    <row r="26" spans="1:6" x14ac:dyDescent="0.35">
      <c r="A26" s="30" t="s">
        <v>255</v>
      </c>
      <c r="B26" s="22"/>
      <c r="C26" s="29"/>
      <c r="D26" s="27">
        <f>IFERROR(VLOOKUP(A26,[1]!TablaMateriales[#Data],2,FALSE),0)</f>
        <v>50000</v>
      </c>
      <c r="E26" s="25">
        <f>B26*D26</f>
        <v>0</v>
      </c>
      <c r="F26" s="281"/>
    </row>
    <row r="27" spans="1:6" x14ac:dyDescent="0.35">
      <c r="A27" s="30" t="s">
        <v>256</v>
      </c>
      <c r="B27" s="22"/>
      <c r="C27" s="29"/>
      <c r="D27" s="27">
        <f>IFERROR(VLOOKUP(A27,[1]!TablaMateriales[#Data],2,FALSE),0)</f>
        <v>0</v>
      </c>
      <c r="E27" s="25">
        <f>B27*D27</f>
        <v>0</v>
      </c>
      <c r="F27" s="281"/>
    </row>
    <row r="28" spans="1:6" x14ac:dyDescent="0.35">
      <c r="A28" s="30" t="s">
        <v>257</v>
      </c>
      <c r="B28" s="78"/>
      <c r="C28" s="23"/>
      <c r="D28" s="27">
        <f>IFERROR(VLOOKUP(A28,[1]!TablaMateriales[#Data],2,FALSE),0)</f>
        <v>9500</v>
      </c>
      <c r="E28" s="25">
        <f>B28*D28</f>
        <v>0</v>
      </c>
      <c r="F28" s="281"/>
    </row>
    <row r="29" spans="1:6" x14ac:dyDescent="0.35">
      <c r="A29" s="30" t="s">
        <v>258</v>
      </c>
      <c r="B29" s="78"/>
      <c r="C29" s="23"/>
      <c r="D29" s="27">
        <f>IFERROR(VLOOKUP(A29,[1]!TablaMateriales[#Data],2,FALSE),0)</f>
        <v>9500</v>
      </c>
      <c r="E29" s="25">
        <f t="shared" ref="E29:E35" si="1">B29*D29</f>
        <v>0</v>
      </c>
      <c r="F29" s="281"/>
    </row>
    <row r="30" spans="1:6" x14ac:dyDescent="0.35">
      <c r="A30" s="30" t="s">
        <v>259</v>
      </c>
      <c r="B30" s="78"/>
      <c r="C30" s="23"/>
      <c r="D30" s="27">
        <f>IFERROR(VLOOKUP(A30,[1]!TablaMateriales[#Data],2,FALSE),0)</f>
        <v>15000</v>
      </c>
      <c r="E30" s="25">
        <f t="shared" si="1"/>
        <v>0</v>
      </c>
      <c r="F30" s="281"/>
    </row>
    <row r="31" spans="1:6" x14ac:dyDescent="0.35">
      <c r="A31" s="30" t="s">
        <v>260</v>
      </c>
      <c r="B31" s="78"/>
      <c r="C31" s="23"/>
      <c r="D31" s="27">
        <f>IFERROR(VLOOKUP(A31,[1]!TablaMateriales[#Data],2,FALSE),0)</f>
        <v>20000</v>
      </c>
      <c r="E31" s="25">
        <f t="shared" si="1"/>
        <v>0</v>
      </c>
      <c r="F31" s="281"/>
    </row>
    <row r="32" spans="1:6" ht="23" x14ac:dyDescent="0.35">
      <c r="A32" s="79" t="s">
        <v>261</v>
      </c>
      <c r="B32" s="78"/>
      <c r="C32" s="23"/>
      <c r="D32" s="27">
        <f>IFERROR(VLOOKUP(A32,[1]!TablaMateriales[#Data],2,FALSE),0)</f>
        <v>55000</v>
      </c>
      <c r="E32" s="25">
        <f t="shared" si="1"/>
        <v>0</v>
      </c>
      <c r="F32" s="281"/>
    </row>
    <row r="33" spans="1:6" x14ac:dyDescent="0.35">
      <c r="A33" s="30" t="s">
        <v>262</v>
      </c>
      <c r="B33" s="78"/>
      <c r="C33" s="23"/>
      <c r="D33" s="27">
        <f>IFERROR(VLOOKUP(A33,[1]!TablaMateriales[#Data],2,FALSE),0)</f>
        <v>15900</v>
      </c>
      <c r="E33" s="25">
        <f t="shared" si="1"/>
        <v>0</v>
      </c>
      <c r="F33" s="281"/>
    </row>
    <row r="34" spans="1:6" x14ac:dyDescent="0.35">
      <c r="A34" s="31" t="s">
        <v>263</v>
      </c>
      <c r="B34" s="78"/>
      <c r="C34" s="23"/>
      <c r="D34" s="27">
        <f>IFERROR(VLOOKUP(A34,[1]!TablaMateriales[#Data],2,FALSE),0)</f>
        <v>14000</v>
      </c>
      <c r="E34" s="25">
        <f t="shared" si="1"/>
        <v>0</v>
      </c>
      <c r="F34" s="281"/>
    </row>
    <row r="35" spans="1:6" x14ac:dyDescent="0.35">
      <c r="A35" s="31" t="s">
        <v>264</v>
      </c>
      <c r="B35" s="78"/>
      <c r="C35" s="23"/>
      <c r="D35" s="27">
        <f>IFERROR(VLOOKUP(A35,[1]!TablaMateriales[#Data],2,FALSE),0)</f>
        <v>3800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/>
      <c r="D43" s="39">
        <f>IFERROR(VLOOKUP(A43,[1]!Tabla8[#Data],3,FALSE),0)</f>
        <v>555393.74067333317</v>
      </c>
      <c r="E43" s="37">
        <f>B43*C43*D43</f>
        <v>0</v>
      </c>
      <c r="F43" s="281"/>
    </row>
    <row r="44" spans="1:6" x14ac:dyDescent="0.35">
      <c r="A44" s="107" t="s">
        <v>273</v>
      </c>
      <c r="B44" s="20">
        <v>1</v>
      </c>
      <c r="C44" s="40"/>
      <c r="D44" s="39">
        <f>IFERROR(VLOOKUP(A44,[1]!Tabla8[#Data],3,FALSE),0)</f>
        <v>555393.74067333317</v>
      </c>
      <c r="E44" s="21">
        <f t="shared" ref="E44:E50" si="2">B44*C44*D44</f>
        <v>0</v>
      </c>
      <c r="F44" s="281"/>
    </row>
    <row r="45" spans="1:6" x14ac:dyDescent="0.35">
      <c r="A45" s="107" t="s">
        <v>277</v>
      </c>
      <c r="B45" s="20">
        <v>1</v>
      </c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>
        <v>1.5</v>
      </c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>
        <v>2</v>
      </c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/>
      <c r="D48" s="39">
        <f>IFERROR(VLOOKUP(A48,[1]!Tabla8[#Data],3,FALSE),0)</f>
        <v>371571.3297066667</v>
      </c>
      <c r="E48" s="21">
        <f t="shared" si="2"/>
        <v>0</v>
      </c>
      <c r="F48" s="281"/>
    </row>
    <row r="49" spans="1:6" x14ac:dyDescent="0.35">
      <c r="A49" s="107" t="s">
        <v>223</v>
      </c>
      <c r="B49" s="20">
        <v>1</v>
      </c>
      <c r="C49" s="35"/>
      <c r="D49" s="39">
        <f>IFERROR(VLOOKUP(A49,[1]!Tabla8[#Data],3,FALSE),0)</f>
        <v>355821.87609999999</v>
      </c>
      <c r="E49" s="21">
        <f>B49*C49*D49</f>
        <v>0</v>
      </c>
      <c r="F49" s="281"/>
    </row>
    <row r="50" spans="1:6" x14ac:dyDescent="0.35">
      <c r="A50" s="107" t="s">
        <v>275</v>
      </c>
      <c r="B50" s="20">
        <v>2</v>
      </c>
      <c r="C50" s="40"/>
      <c r="D50" s="39">
        <f>IFERROR(VLOOKUP(A50,[1]!Tabla8[#Data],3,FALSE),0)</f>
        <v>382109.06042666658</v>
      </c>
      <c r="E50" s="21">
        <f t="shared" si="2"/>
        <v>0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0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08"/>
      <c r="D53" s="108">
        <f>IFERROR(VLOOKUP(A53,[1]!TablaTransporte[#Data],2,FALSE),0)</f>
        <v>550000</v>
      </c>
      <c r="E53" s="110">
        <f>B53*C53*D53</f>
        <v>0</v>
      </c>
      <c r="F53" s="284"/>
    </row>
    <row r="54" spans="1:6" x14ac:dyDescent="0.35">
      <c r="A54" s="108" t="s">
        <v>241</v>
      </c>
      <c r="B54" s="108">
        <v>1</v>
      </c>
      <c r="C54" s="108">
        <v>57</v>
      </c>
      <c r="D54" s="108">
        <f>IFERROR(VLOOKUP(A54,[1]!TablaTransporte[#Data],2,FALSE),0)</f>
        <v>65000</v>
      </c>
      <c r="E54" s="108">
        <f>B54*C54*D54</f>
        <v>3705000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3705000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3705000</v>
      </c>
    </row>
    <row r="59" spans="1:6" ht="15" thickBot="1" x14ac:dyDescent="0.4">
      <c r="A59" s="291">
        <v>0.15</v>
      </c>
      <c r="B59" s="292"/>
      <c r="C59" s="292"/>
      <c r="D59" s="292"/>
      <c r="E59" s="293"/>
      <c r="F59" s="44">
        <f>F58*A59</f>
        <v>555750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4260750</v>
      </c>
    </row>
    <row r="61" spans="1:6" ht="15" thickBot="1" x14ac:dyDescent="0.4">
      <c r="A61" s="302">
        <v>0.1</v>
      </c>
      <c r="B61" s="300"/>
      <c r="C61" s="300"/>
      <c r="D61" s="300"/>
      <c r="E61" s="301"/>
      <c r="F61" s="28">
        <f>F60*A61</f>
        <v>426075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4686825</v>
      </c>
    </row>
    <row r="63" spans="1:6" x14ac:dyDescent="0.35">
      <c r="F63" s="80">
        <f>F62/F3</f>
        <v>75593.951612903227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5121D3AC-D82D-4345-B84E-5C041D023840}">
      <formula1>ListaMateriales</formula1>
    </dataValidation>
    <dataValidation type="list" allowBlank="1" showInputMessage="1" showErrorMessage="1" sqref="A3 A4 A5 A6 A7 A8 A9 A10 A11 A12 A13 A14 A15 A16 A17 A18 A19 A20 A21 A22" xr:uid="{A4E0769B-5DB9-4305-B290-54CBA764078B}">
      <formula1>ListaEquipos</formula1>
    </dataValidation>
    <dataValidation type="list" allowBlank="1" showInputMessage="1" showErrorMessage="1" sqref="A54 A55 A56" xr:uid="{031092B4-B1B7-4BDD-AEEF-B45D38776BB8}">
      <formula1>ListaTransporte</formula1>
    </dataValidation>
    <dataValidation type="list" allowBlank="1" showInputMessage="1" showErrorMessage="1" sqref="A43:A50" xr:uid="{800FFE48-0BA3-4B35-8C1B-4B459AF58597}">
      <formula1>ListaProfesiones</formula1>
    </dataValidation>
  </dataValidation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E4BE4-E2F4-4862-912B-9EE8CC175123}">
  <sheetPr>
    <tabColor rgb="FF7030A0"/>
  </sheetPr>
  <dimension ref="A1:F113"/>
  <sheetViews>
    <sheetView topLeftCell="A19" workbookViewId="0">
      <selection activeCell="E14" sqref="E14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3.6328125" bestFit="1" customWidth="1"/>
  </cols>
  <sheetData>
    <row r="1" spans="1:6" x14ac:dyDescent="0.35">
      <c r="A1" s="306" t="s">
        <v>211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ACTUALIZADO'!C61</f>
        <v>JORNADA</v>
      </c>
    </row>
    <row r="3" spans="1:6" x14ac:dyDescent="0.35">
      <c r="A3" s="33"/>
      <c r="B3" s="34"/>
      <c r="C3" s="45"/>
      <c r="D3" s="46"/>
      <c r="E3" s="37"/>
      <c r="F3" s="77">
        <f>'RESUMEN ACTUALIZADO'!D61</f>
        <v>20</v>
      </c>
    </row>
    <row r="4" spans="1:6" x14ac:dyDescent="0.35">
      <c r="A4" s="24" t="s">
        <v>225</v>
      </c>
      <c r="B4" s="22">
        <v>2</v>
      </c>
      <c r="C4" s="23">
        <v>20</v>
      </c>
      <c r="D4" s="24">
        <f>IFERROR(VLOOKUP(A4,[1]!TablaEquipos[#Data],2,FALSE),0)</f>
        <v>1500</v>
      </c>
      <c r="E4" s="25">
        <f>B4*C4*D4</f>
        <v>60000</v>
      </c>
      <c r="F4" s="62"/>
    </row>
    <row r="5" spans="1:6" ht="23" x14ac:dyDescent="0.35">
      <c r="A5" s="26" t="s">
        <v>767</v>
      </c>
      <c r="B5" s="22">
        <v>1</v>
      </c>
      <c r="C5" s="23">
        <v>20</v>
      </c>
      <c r="D5" s="24">
        <f>IFERROR(VLOOKUP(A5,[1]!TablaEquipos[#Data],2,FALSE),0)</f>
        <v>80000</v>
      </c>
      <c r="E5" s="25">
        <f t="shared" ref="E5:E24" si="0">B5*C5*D5</f>
        <v>1600000</v>
      </c>
      <c r="F5" s="62"/>
    </row>
    <row r="6" spans="1:6" x14ac:dyDescent="0.35">
      <c r="A6" s="26" t="s">
        <v>689</v>
      </c>
      <c r="B6" s="22">
        <v>1</v>
      </c>
      <c r="C6" s="23">
        <v>20</v>
      </c>
      <c r="D6" s="24">
        <f>IFERROR(VLOOKUP(A6,[1]!TablaEquipos[#Data],2,FALSE),0)</f>
        <v>50000</v>
      </c>
      <c r="E6" s="25">
        <f t="shared" si="0"/>
        <v>1000000</v>
      </c>
      <c r="F6" s="62"/>
    </row>
    <row r="7" spans="1:6" x14ac:dyDescent="0.35">
      <c r="A7" s="26" t="s">
        <v>690</v>
      </c>
      <c r="B7" s="22">
        <v>1</v>
      </c>
      <c r="C7" s="23">
        <v>20</v>
      </c>
      <c r="D7" s="24">
        <f>IFERROR(VLOOKUP(A7,[1]!TablaEquipos[#Data],2,FALSE),0)</f>
        <v>50000</v>
      </c>
      <c r="E7" s="25">
        <f t="shared" si="0"/>
        <v>1000000</v>
      </c>
      <c r="F7" s="62"/>
    </row>
    <row r="8" spans="1:6" x14ac:dyDescent="0.35">
      <c r="A8" s="26" t="s">
        <v>691</v>
      </c>
      <c r="B8" s="22">
        <v>1</v>
      </c>
      <c r="C8" s="23">
        <v>20</v>
      </c>
      <c r="D8" s="24">
        <f>IFERROR(VLOOKUP(A8,[1]!TablaEquipos[#Data],2,FALSE),0)</f>
        <v>70000</v>
      </c>
      <c r="E8" s="25">
        <f t="shared" si="0"/>
        <v>1400000</v>
      </c>
      <c r="F8" s="62"/>
    </row>
    <row r="9" spans="1:6" x14ac:dyDescent="0.35">
      <c r="A9" s="26" t="s">
        <v>692</v>
      </c>
      <c r="B9" s="22">
        <v>1</v>
      </c>
      <c r="C9" s="23">
        <v>20</v>
      </c>
      <c r="D9" s="24">
        <f>IFERROR(VLOOKUP(A9,[1]!TablaEquipos[#Data],2,FALSE),0)</f>
        <v>100000</v>
      </c>
      <c r="E9" s="25">
        <f t="shared" si="0"/>
        <v>2000000</v>
      </c>
      <c r="F9" s="62"/>
    </row>
    <row r="10" spans="1:6" x14ac:dyDescent="0.35">
      <c r="A10" s="26" t="s">
        <v>693</v>
      </c>
      <c r="B10" s="22">
        <v>1</v>
      </c>
      <c r="C10" s="23">
        <v>20</v>
      </c>
      <c r="D10" s="24">
        <f>IFERROR(VLOOKUP(A10,[1]!TablaEquipos[#Data],2,FALSE),0)</f>
        <v>25000</v>
      </c>
      <c r="E10" s="25">
        <f t="shared" si="0"/>
        <v>500000</v>
      </c>
      <c r="F10" s="62"/>
    </row>
    <row r="11" spans="1:6" x14ac:dyDescent="0.35">
      <c r="A11" s="26" t="s">
        <v>694</v>
      </c>
      <c r="B11" s="22">
        <v>1</v>
      </c>
      <c r="C11" s="23">
        <v>20</v>
      </c>
      <c r="D11" s="24">
        <f>IFERROR(VLOOKUP(A11,[1]!TablaEquipos[#Data],2,FALSE),0)</f>
        <v>3000</v>
      </c>
      <c r="E11" s="25">
        <f t="shared" si="0"/>
        <v>60000</v>
      </c>
      <c r="F11" s="62"/>
    </row>
    <row r="12" spans="1:6" ht="23" x14ac:dyDescent="0.35">
      <c r="A12" s="26" t="s">
        <v>695</v>
      </c>
      <c r="B12" s="22">
        <v>1</v>
      </c>
      <c r="C12" s="23">
        <v>20</v>
      </c>
      <c r="D12" s="24">
        <f>IFERROR(VLOOKUP(A12,[1]!TablaEquipos[#Data],2,FALSE),0)</f>
        <v>3000</v>
      </c>
      <c r="E12" s="25">
        <f t="shared" si="0"/>
        <v>60000</v>
      </c>
      <c r="F12" s="62"/>
    </row>
    <row r="13" spans="1:6" ht="23" x14ac:dyDescent="0.35">
      <c r="A13" s="26" t="s">
        <v>696</v>
      </c>
      <c r="B13" s="22">
        <v>1</v>
      </c>
      <c r="C13" s="23">
        <v>20</v>
      </c>
      <c r="D13" s="24">
        <f>IFERROR(VLOOKUP(A13,[1]!TablaEquipos[#Data],2,FALSE),0)</f>
        <v>5000</v>
      </c>
      <c r="E13" s="25">
        <f t="shared" si="0"/>
        <v>100000</v>
      </c>
      <c r="F13" s="62"/>
    </row>
    <row r="14" spans="1:6" x14ac:dyDescent="0.35">
      <c r="A14" s="26" t="s">
        <v>697</v>
      </c>
      <c r="B14" s="22">
        <v>1</v>
      </c>
      <c r="C14" s="23">
        <v>20</v>
      </c>
      <c r="D14" s="24">
        <f>IFERROR(VLOOKUP(A14,[1]!TablaEquipos[#Data],2,FALSE),0)</f>
        <v>3000</v>
      </c>
      <c r="E14" s="25">
        <f t="shared" si="0"/>
        <v>60000</v>
      </c>
      <c r="F14" s="62"/>
    </row>
    <row r="15" spans="1:6" x14ac:dyDescent="0.35">
      <c r="A15" s="26" t="s">
        <v>698</v>
      </c>
      <c r="B15" s="22">
        <v>1</v>
      </c>
      <c r="C15" s="23">
        <v>20</v>
      </c>
      <c r="D15" s="24">
        <f>IFERROR(VLOOKUP(A15,[1]!TablaEquipos[#Data],2,FALSE),0)</f>
        <v>10000</v>
      </c>
      <c r="E15" s="25">
        <f t="shared" si="0"/>
        <v>200000</v>
      </c>
      <c r="F15" s="62"/>
    </row>
    <row r="16" spans="1:6" x14ac:dyDescent="0.35">
      <c r="A16" s="26" t="s">
        <v>699</v>
      </c>
      <c r="B16" s="22">
        <v>1</v>
      </c>
      <c r="C16" s="23">
        <v>20</v>
      </c>
      <c r="D16" s="24">
        <f>IFERROR(VLOOKUP(A16,[1]!TablaEquipos[#Data],2,FALSE),0)</f>
        <v>5000</v>
      </c>
      <c r="E16" s="25">
        <f t="shared" si="0"/>
        <v>100000</v>
      </c>
      <c r="F16" s="62"/>
    </row>
    <row r="17" spans="1:6" x14ac:dyDescent="0.35">
      <c r="A17" s="26" t="s">
        <v>700</v>
      </c>
      <c r="B17" s="22">
        <v>1</v>
      </c>
      <c r="C17" s="23">
        <v>20</v>
      </c>
      <c r="D17" s="24">
        <f>IFERROR(VLOOKUP(A17,[1]!TablaEquipos[#Data],2,FALSE),0)</f>
        <v>5000</v>
      </c>
      <c r="E17" s="25">
        <f t="shared" si="0"/>
        <v>100000</v>
      </c>
      <c r="F17" s="62"/>
    </row>
    <row r="18" spans="1:6" x14ac:dyDescent="0.35">
      <c r="A18" s="26" t="s">
        <v>701</v>
      </c>
      <c r="B18" s="22">
        <v>1</v>
      </c>
      <c r="C18" s="23">
        <v>20</v>
      </c>
      <c r="D18" s="24">
        <f>IFERROR(VLOOKUP(A18,[1]!TablaEquipos[#Data],2,FALSE),0)</f>
        <v>1000</v>
      </c>
      <c r="E18" s="25">
        <f t="shared" si="0"/>
        <v>20000</v>
      </c>
      <c r="F18" s="62"/>
    </row>
    <row r="19" spans="1:6" x14ac:dyDescent="0.35">
      <c r="A19" s="26" t="s">
        <v>702</v>
      </c>
      <c r="B19" s="22">
        <v>1</v>
      </c>
      <c r="C19" s="23">
        <v>20</v>
      </c>
      <c r="D19" s="24">
        <f>IFERROR(VLOOKUP(A19,[1]!TablaEquipos[#Data],2,FALSE),0)</f>
        <v>5000</v>
      </c>
      <c r="E19" s="25">
        <f t="shared" si="0"/>
        <v>100000</v>
      </c>
      <c r="F19" s="62"/>
    </row>
    <row r="20" spans="1:6" x14ac:dyDescent="0.35">
      <c r="A20" s="26" t="s">
        <v>703</v>
      </c>
      <c r="B20" s="22">
        <v>1</v>
      </c>
      <c r="C20" s="23">
        <v>20</v>
      </c>
      <c r="D20" s="24">
        <f>IFERROR(VLOOKUP(A20,[1]!TablaEquipos[#Data],2,FALSE),0)</f>
        <v>2000</v>
      </c>
      <c r="E20" s="25">
        <f t="shared" si="0"/>
        <v>40000</v>
      </c>
      <c r="F20" s="62"/>
    </row>
    <row r="21" spans="1:6" x14ac:dyDescent="0.35">
      <c r="A21" s="26" t="s">
        <v>704</v>
      </c>
      <c r="B21" s="22">
        <v>1</v>
      </c>
      <c r="C21" s="23">
        <v>20</v>
      </c>
      <c r="D21" s="24">
        <f>IFERROR(VLOOKUP(A21,[1]!TablaEquipos[#Data],2,FALSE),0)</f>
        <v>5000</v>
      </c>
      <c r="E21" s="25">
        <f t="shared" si="0"/>
        <v>100000</v>
      </c>
      <c r="F21" s="62"/>
    </row>
    <row r="22" spans="1:6" x14ac:dyDescent="0.35">
      <c r="A22" s="26" t="s">
        <v>705</v>
      </c>
      <c r="B22" s="22">
        <v>1</v>
      </c>
      <c r="C22" s="23">
        <v>20</v>
      </c>
      <c r="D22" s="24">
        <f>IFERROR(VLOOKUP(A22,[1]!TablaEquipos[#Data],2,FALSE),0)</f>
        <v>10000</v>
      </c>
      <c r="E22" s="25">
        <f t="shared" si="0"/>
        <v>200000</v>
      </c>
      <c r="F22" s="62"/>
    </row>
    <row r="23" spans="1:6" x14ac:dyDescent="0.35">
      <c r="A23" s="26" t="s">
        <v>706</v>
      </c>
      <c r="B23" s="22">
        <v>1</v>
      </c>
      <c r="C23" s="23">
        <v>20</v>
      </c>
      <c r="D23" s="24">
        <f>IFERROR(VLOOKUP(A23,[1]!TablaEquipos[#Data],2,FALSE),0)</f>
        <v>50000</v>
      </c>
      <c r="E23" s="25">
        <f t="shared" si="0"/>
        <v>1000000</v>
      </c>
      <c r="F23" s="62"/>
    </row>
    <row r="24" spans="1:6" x14ac:dyDescent="0.35">
      <c r="A24" s="26" t="s">
        <v>707</v>
      </c>
      <c r="B24" s="22">
        <v>1</v>
      </c>
      <c r="C24" s="23">
        <v>20</v>
      </c>
      <c r="D24" s="24">
        <f>IFERROR(VLOOKUP(A24,[1]!TablaEquipos[#Data],2,FALSE),0)</f>
        <v>30000</v>
      </c>
      <c r="E24" s="25">
        <f t="shared" si="0"/>
        <v>600000</v>
      </c>
      <c r="F24" s="62"/>
    </row>
    <row r="25" spans="1:6" x14ac:dyDescent="0.35">
      <c r="A25" s="26" t="s">
        <v>709</v>
      </c>
      <c r="B25" s="22">
        <v>1</v>
      </c>
      <c r="C25" s="23">
        <v>20</v>
      </c>
      <c r="D25" s="24">
        <f>IFERROR(VLOOKUP(A25,[1]!TablaEquipos[#Data],2,FALSE),0)</f>
        <v>30000</v>
      </c>
      <c r="E25" s="25">
        <f t="shared" ref="E25:E61" si="1">B25*C25*D25</f>
        <v>600000</v>
      </c>
      <c r="F25" s="62"/>
    </row>
    <row r="26" spans="1:6" x14ac:dyDescent="0.35">
      <c r="A26" s="26" t="s">
        <v>710</v>
      </c>
      <c r="B26" s="22">
        <v>1</v>
      </c>
      <c r="C26" s="23">
        <v>20</v>
      </c>
      <c r="D26" s="24">
        <f>IFERROR(VLOOKUP(A26,[1]!TablaEquipos[#Data],2,FALSE),0)</f>
        <v>15000</v>
      </c>
      <c r="E26" s="25">
        <f>B26*C26*D26</f>
        <v>300000</v>
      </c>
      <c r="F26" s="62"/>
    </row>
    <row r="27" spans="1:6" ht="23" x14ac:dyDescent="0.35">
      <c r="A27" s="26" t="s">
        <v>711</v>
      </c>
      <c r="B27" s="22">
        <v>1</v>
      </c>
      <c r="C27" s="23">
        <v>20</v>
      </c>
      <c r="D27" s="24">
        <f>IFERROR(VLOOKUP(A27,[1]!TablaEquipos[#Data],2,FALSE),0)</f>
        <v>35000</v>
      </c>
      <c r="E27" s="25">
        <f t="shared" si="1"/>
        <v>700000</v>
      </c>
      <c r="F27" s="62"/>
    </row>
    <row r="28" spans="1:6" ht="23" x14ac:dyDescent="0.35">
      <c r="A28" s="26" t="s">
        <v>712</v>
      </c>
      <c r="B28" s="22">
        <v>1</v>
      </c>
      <c r="C28" s="23">
        <v>20</v>
      </c>
      <c r="D28" s="24">
        <f>IFERROR(VLOOKUP(A28,[1]!TablaEquipos[#Data],2,FALSE),0)</f>
        <v>35000</v>
      </c>
      <c r="E28" s="25">
        <f t="shared" si="1"/>
        <v>700000</v>
      </c>
      <c r="F28" s="62"/>
    </row>
    <row r="29" spans="1:6" x14ac:dyDescent="0.35">
      <c r="A29" s="26" t="s">
        <v>714</v>
      </c>
      <c r="B29" s="22">
        <v>1</v>
      </c>
      <c r="C29" s="23">
        <v>20</v>
      </c>
      <c r="D29" s="24">
        <f>IFERROR(VLOOKUP(A29,[1]!TablaEquipos[#Data],2,FALSE),0)</f>
        <v>20000</v>
      </c>
      <c r="E29" s="25">
        <f t="shared" si="1"/>
        <v>400000</v>
      </c>
      <c r="F29" s="62"/>
    </row>
    <row r="30" spans="1:6" ht="23" x14ac:dyDescent="0.35">
      <c r="A30" s="26" t="s">
        <v>715</v>
      </c>
      <c r="B30" s="22">
        <v>1</v>
      </c>
      <c r="C30" s="23">
        <v>20</v>
      </c>
      <c r="D30" s="24">
        <f>IFERROR(VLOOKUP(A30,[1]!TablaEquipos[#Data],2,FALSE),0)</f>
        <v>3500</v>
      </c>
      <c r="E30" s="25">
        <f t="shared" si="1"/>
        <v>70000</v>
      </c>
      <c r="F30" s="62"/>
    </row>
    <row r="31" spans="1:6" x14ac:dyDescent="0.35">
      <c r="A31" s="26" t="s">
        <v>716</v>
      </c>
      <c r="B31" s="22">
        <v>1</v>
      </c>
      <c r="C31" s="23">
        <v>20</v>
      </c>
      <c r="D31" s="24">
        <f>IFERROR(VLOOKUP(A31,[1]!TablaEquipos[#Data],2,FALSE),0)</f>
        <v>3500</v>
      </c>
      <c r="E31" s="25">
        <f t="shared" si="1"/>
        <v>70000</v>
      </c>
      <c r="F31" s="62"/>
    </row>
    <row r="32" spans="1:6" x14ac:dyDescent="0.35">
      <c r="A32" s="26" t="s">
        <v>717</v>
      </c>
      <c r="B32" s="22">
        <v>1</v>
      </c>
      <c r="C32" s="23">
        <v>20</v>
      </c>
      <c r="D32" s="24">
        <f>IFERROR(VLOOKUP(A32,[1]!TablaEquipos[#Data],2,FALSE),0)</f>
        <v>1000</v>
      </c>
      <c r="E32" s="25">
        <f t="shared" si="1"/>
        <v>20000</v>
      </c>
      <c r="F32" s="62"/>
    </row>
    <row r="33" spans="1:6" x14ac:dyDescent="0.35">
      <c r="A33" s="26" t="s">
        <v>718</v>
      </c>
      <c r="B33" s="22">
        <v>1</v>
      </c>
      <c r="C33" s="23">
        <v>20</v>
      </c>
      <c r="D33" s="24">
        <f>IFERROR(VLOOKUP(A33,[1]!TablaEquipos[#Data],2,FALSE),0)</f>
        <v>2000</v>
      </c>
      <c r="E33" s="25">
        <f t="shared" si="1"/>
        <v>40000</v>
      </c>
      <c r="F33" s="62"/>
    </row>
    <row r="34" spans="1:6" x14ac:dyDescent="0.35">
      <c r="A34" s="26" t="s">
        <v>756</v>
      </c>
      <c r="B34" s="22">
        <v>1</v>
      </c>
      <c r="C34" s="23">
        <v>20</v>
      </c>
      <c r="D34" s="24">
        <f>IFERROR(VLOOKUP(A34,[1]!TablaEquipos[#Data],2,FALSE),0)</f>
        <v>0</v>
      </c>
      <c r="E34" s="25">
        <f t="shared" si="1"/>
        <v>0</v>
      </c>
      <c r="F34" s="62"/>
    </row>
    <row r="35" spans="1:6" x14ac:dyDescent="0.35">
      <c r="A35" s="26" t="s">
        <v>720</v>
      </c>
      <c r="B35" s="22">
        <v>1</v>
      </c>
      <c r="C35" s="23">
        <v>20</v>
      </c>
      <c r="D35" s="24">
        <f>IFERROR(VLOOKUP(A35,[1]!TablaEquipos[#Data],2,FALSE),0)</f>
        <v>6000</v>
      </c>
      <c r="E35" s="25">
        <f t="shared" si="1"/>
        <v>120000</v>
      </c>
      <c r="F35" s="62"/>
    </row>
    <row r="36" spans="1:6" x14ac:dyDescent="0.35">
      <c r="A36" s="26" t="s">
        <v>721</v>
      </c>
      <c r="B36" s="22">
        <v>1</v>
      </c>
      <c r="C36" s="23">
        <v>20</v>
      </c>
      <c r="D36" s="24">
        <f>IFERROR(VLOOKUP(A36,[1]!TablaEquipos[#Data],2,FALSE),0)</f>
        <v>1000</v>
      </c>
      <c r="E36" s="25">
        <f t="shared" si="1"/>
        <v>20000</v>
      </c>
      <c r="F36" s="62"/>
    </row>
    <row r="37" spans="1:6" x14ac:dyDescent="0.35">
      <c r="A37" s="24" t="s">
        <v>722</v>
      </c>
      <c r="B37" s="22">
        <v>1</v>
      </c>
      <c r="C37" s="23">
        <v>20</v>
      </c>
      <c r="D37" s="24">
        <f>IFERROR(VLOOKUP(A37,[1]!TablaEquipos[#Data],2,FALSE),0)</f>
        <v>2000</v>
      </c>
      <c r="E37" s="25">
        <f t="shared" si="1"/>
        <v>40000</v>
      </c>
      <c r="F37" s="62"/>
    </row>
    <row r="38" spans="1:6" x14ac:dyDescent="0.35">
      <c r="A38" s="26" t="s">
        <v>723</v>
      </c>
      <c r="B38" s="22">
        <v>1</v>
      </c>
      <c r="C38" s="23">
        <v>20</v>
      </c>
      <c r="D38" s="24">
        <f>IFERROR(VLOOKUP(A38,[1]!TablaEquipos[#Data],2,FALSE),0)</f>
        <v>2000</v>
      </c>
      <c r="E38" s="25">
        <f t="shared" si="1"/>
        <v>40000</v>
      </c>
      <c r="F38" s="62"/>
    </row>
    <row r="39" spans="1:6" x14ac:dyDescent="0.35">
      <c r="A39" s="24" t="s">
        <v>724</v>
      </c>
      <c r="B39" s="22">
        <v>1</v>
      </c>
      <c r="C39" s="23">
        <v>20</v>
      </c>
      <c r="D39" s="24">
        <f>IFERROR(VLOOKUP(A39,[1]!TablaEquipos[#Data],2,FALSE),0)</f>
        <v>4000</v>
      </c>
      <c r="E39" s="25">
        <f t="shared" si="1"/>
        <v>80000</v>
      </c>
      <c r="F39" s="62"/>
    </row>
    <row r="40" spans="1:6" x14ac:dyDescent="0.35">
      <c r="A40" s="81" t="s">
        <v>725</v>
      </c>
      <c r="B40" s="22">
        <v>1</v>
      </c>
      <c r="C40" s="23">
        <v>20</v>
      </c>
      <c r="D40" s="24">
        <f>IFERROR(VLOOKUP(A40,[1]!TablaEquipos[#Data],2,FALSE),0)</f>
        <v>7000</v>
      </c>
      <c r="E40" s="25">
        <f t="shared" si="1"/>
        <v>140000</v>
      </c>
      <c r="F40" s="62"/>
    </row>
    <row r="41" spans="1:6" x14ac:dyDescent="0.35">
      <c r="A41" s="24" t="s">
        <v>726</v>
      </c>
      <c r="B41" s="22">
        <v>1</v>
      </c>
      <c r="C41" s="23">
        <v>20</v>
      </c>
      <c r="D41" s="24">
        <f>IFERROR(VLOOKUP(A41,[1]!TablaEquipos[#Data],2,FALSE),0)</f>
        <v>50000</v>
      </c>
      <c r="E41" s="25">
        <f t="shared" si="1"/>
        <v>1000000</v>
      </c>
      <c r="F41" s="62"/>
    </row>
    <row r="42" spans="1:6" x14ac:dyDescent="0.35">
      <c r="A42" s="24" t="s">
        <v>727</v>
      </c>
      <c r="B42" s="22">
        <v>1</v>
      </c>
      <c r="C42" s="23">
        <v>20</v>
      </c>
      <c r="D42" s="24">
        <f>IFERROR(VLOOKUP(A42,[1]!TablaEquipos[#Data],2,FALSE),0)</f>
        <v>50000</v>
      </c>
      <c r="E42" s="25">
        <f t="shared" si="1"/>
        <v>1000000</v>
      </c>
      <c r="F42" s="62"/>
    </row>
    <row r="43" spans="1:6" x14ac:dyDescent="0.35">
      <c r="A43" s="24" t="s">
        <v>728</v>
      </c>
      <c r="B43" s="22">
        <v>1</v>
      </c>
      <c r="C43" s="23">
        <v>20</v>
      </c>
      <c r="D43" s="24">
        <f>IFERROR(VLOOKUP(A43,[1]!TablaEquipos[#Data],2,FALSE),0)</f>
        <v>25000</v>
      </c>
      <c r="E43" s="25">
        <f t="shared" si="1"/>
        <v>500000</v>
      </c>
      <c r="F43" s="62"/>
    </row>
    <row r="44" spans="1:6" x14ac:dyDescent="0.35">
      <c r="A44" s="24" t="s">
        <v>729</v>
      </c>
      <c r="B44" s="22">
        <v>1</v>
      </c>
      <c r="C44" s="23">
        <v>20</v>
      </c>
      <c r="D44" s="24">
        <f>IFERROR(VLOOKUP(A44,[1]!TablaEquipos[#Data],2,FALSE),0)</f>
        <v>50000</v>
      </c>
      <c r="E44" s="25">
        <f t="shared" si="1"/>
        <v>1000000</v>
      </c>
      <c r="F44" s="62"/>
    </row>
    <row r="45" spans="1:6" x14ac:dyDescent="0.35">
      <c r="A45" s="24" t="s">
        <v>760</v>
      </c>
      <c r="B45" s="22">
        <v>1</v>
      </c>
      <c r="C45" s="23">
        <v>20</v>
      </c>
      <c r="D45" s="24">
        <f>IFERROR(VLOOKUP(A45,[1]!TablaEquipos[#Data],2,FALSE),0)</f>
        <v>3000</v>
      </c>
      <c r="E45" s="25">
        <f t="shared" si="1"/>
        <v>60000</v>
      </c>
      <c r="F45" s="62"/>
    </row>
    <row r="46" spans="1:6" x14ac:dyDescent="0.35">
      <c r="A46" s="24" t="s">
        <v>761</v>
      </c>
      <c r="B46" s="22">
        <v>1</v>
      </c>
      <c r="C46" s="23">
        <v>20</v>
      </c>
      <c r="D46" s="24">
        <f>IFERROR(VLOOKUP(A46,[1]!TablaEquipos[#Data],2,FALSE),0)</f>
        <v>4000</v>
      </c>
      <c r="E46" s="25">
        <f t="shared" si="1"/>
        <v>80000</v>
      </c>
      <c r="F46" s="62"/>
    </row>
    <row r="47" spans="1:6" x14ac:dyDescent="0.35">
      <c r="A47" s="24" t="s">
        <v>762</v>
      </c>
      <c r="B47" s="22">
        <v>1</v>
      </c>
      <c r="C47" s="23">
        <v>20</v>
      </c>
      <c r="D47" s="24">
        <f>IFERROR(VLOOKUP(A47,[1]!TablaEquipos[#Data],2,FALSE),0)</f>
        <v>6000</v>
      </c>
      <c r="E47" s="25">
        <f t="shared" si="1"/>
        <v>120000</v>
      </c>
      <c r="F47" s="62"/>
    </row>
    <row r="48" spans="1:6" x14ac:dyDescent="0.35">
      <c r="A48" s="24" t="s">
        <v>763</v>
      </c>
      <c r="B48" s="22">
        <v>1</v>
      </c>
      <c r="C48" s="23">
        <v>20</v>
      </c>
      <c r="D48" s="24">
        <f>IFERROR(VLOOKUP(A48,[1]!TablaEquipos[#Data],2,FALSE),0)</f>
        <v>25000</v>
      </c>
      <c r="E48" s="25">
        <f t="shared" si="1"/>
        <v>500000</v>
      </c>
      <c r="F48" s="62"/>
    </row>
    <row r="49" spans="1:6" x14ac:dyDescent="0.35">
      <c r="A49" s="24" t="s">
        <v>324</v>
      </c>
      <c r="B49" s="22">
        <v>1</v>
      </c>
      <c r="C49" s="23">
        <v>20</v>
      </c>
      <c r="D49" s="24">
        <f>IFERROR(VLOOKUP(A49,[1]!TablaEquipos[#Data],2,FALSE),0)</f>
        <v>2000</v>
      </c>
      <c r="E49" s="25">
        <f t="shared" si="1"/>
        <v>40000</v>
      </c>
      <c r="F49" s="62"/>
    </row>
    <row r="50" spans="1:6" x14ac:dyDescent="0.35">
      <c r="A50" s="24" t="s">
        <v>757</v>
      </c>
      <c r="B50" s="22">
        <v>1</v>
      </c>
      <c r="C50" s="23">
        <v>20</v>
      </c>
      <c r="D50" s="24">
        <f>IFERROR(VLOOKUP(A50,[1]!TablaEquipos[#Data],2,FALSE),0)</f>
        <v>1000</v>
      </c>
      <c r="E50" s="25">
        <f t="shared" si="1"/>
        <v>20000</v>
      </c>
      <c r="F50" s="62"/>
    </row>
    <row r="51" spans="1:6" x14ac:dyDescent="0.35">
      <c r="A51" s="24" t="s">
        <v>735</v>
      </c>
      <c r="B51" s="22">
        <v>1</v>
      </c>
      <c r="C51" s="23">
        <v>20</v>
      </c>
      <c r="D51" s="24">
        <f>IFERROR(VLOOKUP(A51,[1]!TablaEquipos[#Data],2,FALSE),0)</f>
        <v>80000</v>
      </c>
      <c r="E51" s="25">
        <f t="shared" si="1"/>
        <v>1600000</v>
      </c>
      <c r="F51" s="62"/>
    </row>
    <row r="52" spans="1:6" x14ac:dyDescent="0.35">
      <c r="A52" s="24" t="s">
        <v>736</v>
      </c>
      <c r="B52" s="22">
        <v>1</v>
      </c>
      <c r="C52" s="23">
        <v>20</v>
      </c>
      <c r="D52" s="24">
        <f>IFERROR(VLOOKUP(A52,[1]!TablaEquipos[#Data],2,FALSE),0)</f>
        <v>500</v>
      </c>
      <c r="E52" s="25">
        <f t="shared" si="1"/>
        <v>10000</v>
      </c>
      <c r="F52" s="62"/>
    </row>
    <row r="53" spans="1:6" x14ac:dyDescent="0.35">
      <c r="A53" s="24" t="s">
        <v>737</v>
      </c>
      <c r="B53" s="22">
        <v>1</v>
      </c>
      <c r="C53" s="23">
        <v>20</v>
      </c>
      <c r="D53" s="24">
        <f>IFERROR(VLOOKUP(A53,[1]!TablaEquipos[#Data],2,FALSE),0)</f>
        <v>500</v>
      </c>
      <c r="E53" s="25">
        <f t="shared" si="1"/>
        <v>10000</v>
      </c>
      <c r="F53" s="62"/>
    </row>
    <row r="54" spans="1:6" x14ac:dyDescent="0.35">
      <c r="A54" s="24" t="s">
        <v>758</v>
      </c>
      <c r="B54" s="22">
        <v>6</v>
      </c>
      <c r="C54" s="23">
        <v>20</v>
      </c>
      <c r="D54" s="24">
        <f>IFERROR(VLOOKUP(A54,[1]!TablaEquipos[#Data],2,FALSE),0)</f>
        <v>3000</v>
      </c>
      <c r="E54" s="25">
        <f t="shared" si="1"/>
        <v>360000</v>
      </c>
      <c r="F54" s="62"/>
    </row>
    <row r="55" spans="1:6" x14ac:dyDescent="0.35">
      <c r="A55" s="24" t="s">
        <v>738</v>
      </c>
      <c r="B55" s="22">
        <v>1</v>
      </c>
      <c r="C55" s="23">
        <v>20</v>
      </c>
      <c r="D55" s="24">
        <f>IFERROR(VLOOKUP(A55,[1]!TablaEquipos[#Data],2,FALSE),0)</f>
        <v>2500</v>
      </c>
      <c r="E55" s="25">
        <f t="shared" si="1"/>
        <v>50000</v>
      </c>
      <c r="F55" s="62"/>
    </row>
    <row r="56" spans="1:6" x14ac:dyDescent="0.35">
      <c r="A56" s="24" t="s">
        <v>477</v>
      </c>
      <c r="B56" s="22">
        <v>1</v>
      </c>
      <c r="C56" s="23">
        <v>20</v>
      </c>
      <c r="D56" s="24">
        <f>IFERROR(VLOOKUP(A56,[1]!TablaEquipos[#Data],2,FALSE),0)</f>
        <v>50000</v>
      </c>
      <c r="E56" s="25">
        <f t="shared" si="1"/>
        <v>1000000</v>
      </c>
      <c r="F56" s="62"/>
    </row>
    <row r="57" spans="1:6" x14ac:dyDescent="0.35">
      <c r="A57" s="24" t="s">
        <v>752</v>
      </c>
      <c r="B57" s="22">
        <v>1</v>
      </c>
      <c r="C57" s="23">
        <v>20</v>
      </c>
      <c r="D57" s="24">
        <f>IFERROR(VLOOKUP(A57,[1]!TablaEquipos[#Data],2,FALSE),0)</f>
        <v>3000</v>
      </c>
      <c r="E57" s="25">
        <f t="shared" si="1"/>
        <v>60000</v>
      </c>
      <c r="F57" s="62"/>
    </row>
    <row r="58" spans="1:6" x14ac:dyDescent="0.35">
      <c r="A58" s="24" t="s">
        <v>316</v>
      </c>
      <c r="B58" s="22">
        <v>1</v>
      </c>
      <c r="C58" s="23">
        <v>20</v>
      </c>
      <c r="D58" s="24">
        <f>IFERROR(VLOOKUP(A58,[1]!TablaEquipos[#Data],2,FALSE),0)</f>
        <v>32500</v>
      </c>
      <c r="E58" s="25">
        <f t="shared" si="1"/>
        <v>650000</v>
      </c>
      <c r="F58" s="62"/>
    </row>
    <row r="59" spans="1:6" x14ac:dyDescent="0.35">
      <c r="A59" s="24" t="s">
        <v>344</v>
      </c>
      <c r="B59" s="22">
        <v>1</v>
      </c>
      <c r="C59" s="23">
        <v>20</v>
      </c>
      <c r="D59" s="24">
        <f>IFERROR(VLOOKUP(A59,[1]!TablaEquipos[#Data],2,FALSE),0)</f>
        <v>40000</v>
      </c>
      <c r="E59" s="25">
        <f>B59*C59*D59</f>
        <v>800000</v>
      </c>
      <c r="F59" s="62"/>
    </row>
    <row r="60" spans="1:6" x14ac:dyDescent="0.35">
      <c r="A60" s="24" t="s">
        <v>768</v>
      </c>
      <c r="B60" s="22">
        <v>4</v>
      </c>
      <c r="C60" s="23">
        <v>20</v>
      </c>
      <c r="D60" s="24">
        <f>IFERROR(VLOOKUP(A60,[1]!TablaEquipos[#Data],2,FALSE),0)</f>
        <v>5000</v>
      </c>
      <c r="E60" s="25">
        <f>B60*C60*D60</f>
        <v>400000</v>
      </c>
      <c r="F60" s="62"/>
    </row>
    <row r="61" spans="1:6" x14ac:dyDescent="0.35">
      <c r="A61" s="24" t="s">
        <v>753</v>
      </c>
      <c r="B61" s="22">
        <v>1</v>
      </c>
      <c r="C61" s="23">
        <v>20</v>
      </c>
      <c r="D61" s="24">
        <f>IFERROR(VLOOKUP(A61,[1]!TablaEquipos[#Data],2,FALSE),0)</f>
        <v>6000</v>
      </c>
      <c r="E61" s="25">
        <f t="shared" si="1"/>
        <v>120000</v>
      </c>
      <c r="F61" s="62"/>
    </row>
    <row r="62" spans="1:6" ht="15" thickBot="1" x14ac:dyDescent="0.4">
      <c r="A62" s="294"/>
      <c r="B62" s="295"/>
      <c r="C62" s="295"/>
      <c r="D62" s="295"/>
      <c r="E62" s="295"/>
      <c r="F62" s="84">
        <f>SUM(E4:E61)</f>
        <v>23020000</v>
      </c>
    </row>
    <row r="63" spans="1:6" x14ac:dyDescent="0.35">
      <c r="A63" s="33" t="s">
        <v>270</v>
      </c>
      <c r="B63" s="34" t="s">
        <v>83</v>
      </c>
      <c r="C63" s="45" t="s">
        <v>84</v>
      </c>
      <c r="D63" s="46" t="s">
        <v>269</v>
      </c>
      <c r="E63" s="37" t="s">
        <v>86</v>
      </c>
      <c r="F63" s="168"/>
    </row>
    <row r="64" spans="1:6" x14ac:dyDescent="0.35">
      <c r="A64" s="24"/>
      <c r="B64" s="22"/>
      <c r="C64" s="29"/>
      <c r="D64" s="27">
        <f>IFERROR(VLOOKUP(A64,[1]!TablaMateriales[#Data],2,FALSE),0)</f>
        <v>0</v>
      </c>
      <c r="E64" s="25">
        <f>B64*D64</f>
        <v>0</v>
      </c>
      <c r="F64" s="155"/>
    </row>
    <row r="65" spans="1:6" x14ac:dyDescent="0.35">
      <c r="A65" s="30" t="s">
        <v>739</v>
      </c>
      <c r="B65" s="22">
        <v>80</v>
      </c>
      <c r="C65" s="29"/>
      <c r="D65" s="27">
        <f>IFERROR(VLOOKUP(A65,[1]!TablaMateriales[#Data],2,FALSE),0)</f>
        <v>11500</v>
      </c>
      <c r="E65" s="25">
        <f>B65*D65</f>
        <v>920000</v>
      </c>
      <c r="F65" s="155"/>
    </row>
    <row r="66" spans="1:6" x14ac:dyDescent="0.35">
      <c r="A66" s="30" t="s">
        <v>740</v>
      </c>
      <c r="B66" s="22">
        <v>80</v>
      </c>
      <c r="C66" s="29"/>
      <c r="D66" s="27">
        <f>IFERROR(VLOOKUP(A66,[1]!TablaMateriales[#Data],2,FALSE),0)</f>
        <v>5500</v>
      </c>
      <c r="E66" s="25">
        <f>B66*D66</f>
        <v>440000</v>
      </c>
      <c r="F66" s="155"/>
    </row>
    <row r="67" spans="1:6" x14ac:dyDescent="0.35">
      <c r="A67" s="30" t="s">
        <v>741</v>
      </c>
      <c r="B67" s="22">
        <v>80</v>
      </c>
      <c r="C67" s="29"/>
      <c r="D67" s="27">
        <f>IFERROR(VLOOKUP(A67,[1]!TablaMateriales[#Data],2,FALSE),0)</f>
        <v>5500</v>
      </c>
      <c r="E67" s="25">
        <f>B67*D67</f>
        <v>440000</v>
      </c>
      <c r="F67" s="155"/>
    </row>
    <row r="68" spans="1:6" x14ac:dyDescent="0.35">
      <c r="A68" s="30" t="s">
        <v>401</v>
      </c>
      <c r="B68" s="78">
        <v>80</v>
      </c>
      <c r="C68" s="23"/>
      <c r="D68" s="27">
        <f>IFERROR(VLOOKUP(A68,[1]!TablaMateriales[#Data],2,FALSE),0)</f>
        <v>11500</v>
      </c>
      <c r="E68" s="25">
        <f>B68*D68</f>
        <v>920000</v>
      </c>
      <c r="F68" s="155"/>
    </row>
    <row r="69" spans="1:6" x14ac:dyDescent="0.35">
      <c r="A69" s="30" t="s">
        <v>742</v>
      </c>
      <c r="B69" s="78">
        <v>60</v>
      </c>
      <c r="C69" s="23"/>
      <c r="D69" s="27">
        <f>IFERROR(VLOOKUP(A69,[1]!TablaMateriales[#Data],2,FALSE),0)</f>
        <v>15000</v>
      </c>
      <c r="E69" s="25">
        <f t="shared" ref="E69:E80" si="2">B69*D69</f>
        <v>900000</v>
      </c>
      <c r="F69" s="155"/>
    </row>
    <row r="70" spans="1:6" x14ac:dyDescent="0.35">
      <c r="A70" s="30" t="s">
        <v>743</v>
      </c>
      <c r="B70" s="78">
        <v>40</v>
      </c>
      <c r="C70" s="23"/>
      <c r="D70" s="27">
        <f>IFERROR(VLOOKUP(A70,[1]!TablaMateriales[#Data],2,FALSE),0)</f>
        <v>15000</v>
      </c>
      <c r="E70" s="25">
        <f t="shared" si="2"/>
        <v>600000</v>
      </c>
      <c r="F70" s="155"/>
    </row>
    <row r="71" spans="1:6" x14ac:dyDescent="0.35">
      <c r="A71" s="30" t="s">
        <v>744</v>
      </c>
      <c r="B71" s="78">
        <v>40</v>
      </c>
      <c r="C71" s="23"/>
      <c r="D71" s="27">
        <f>IFERROR(VLOOKUP(A71,[1]!TablaMateriales[#Data],2,FALSE),0)</f>
        <v>15000</v>
      </c>
      <c r="E71" s="25">
        <f t="shared" si="2"/>
        <v>600000</v>
      </c>
      <c r="F71" s="155"/>
    </row>
    <row r="72" spans="1:6" x14ac:dyDescent="0.35">
      <c r="A72" s="30" t="s">
        <v>745</v>
      </c>
      <c r="B72" s="78">
        <v>60</v>
      </c>
      <c r="C72" s="23"/>
      <c r="D72" s="27">
        <f>IFERROR(VLOOKUP(A72,[1]!TablaMateriales[#Data],2,FALSE),0)</f>
        <v>15000</v>
      </c>
      <c r="E72" s="25">
        <f t="shared" si="2"/>
        <v>900000</v>
      </c>
      <c r="F72" s="155"/>
    </row>
    <row r="73" spans="1:6" x14ac:dyDescent="0.35">
      <c r="A73" s="30" t="s">
        <v>746</v>
      </c>
      <c r="B73" s="78">
        <v>3</v>
      </c>
      <c r="C73" s="23"/>
      <c r="D73" s="27">
        <f>IFERROR(VLOOKUP(A73,[1]!TablaMateriales[#Data],2,FALSE),0)</f>
        <v>1000</v>
      </c>
      <c r="E73" s="25">
        <f t="shared" si="2"/>
        <v>3000</v>
      </c>
      <c r="F73" s="155"/>
    </row>
    <row r="74" spans="1:6" x14ac:dyDescent="0.35">
      <c r="A74" s="30" t="s">
        <v>747</v>
      </c>
      <c r="B74" s="78">
        <v>3</v>
      </c>
      <c r="C74" s="23"/>
      <c r="D74" s="27">
        <f>IFERROR(VLOOKUP(A74,[1]!TablaMateriales[#Data],2,FALSE),0)</f>
        <v>1000</v>
      </c>
      <c r="E74" s="25">
        <f t="shared" si="2"/>
        <v>3000</v>
      </c>
      <c r="F74" s="155"/>
    </row>
    <row r="75" spans="1:6" x14ac:dyDescent="0.35">
      <c r="A75" s="30" t="s">
        <v>748</v>
      </c>
      <c r="B75" s="78">
        <v>8</v>
      </c>
      <c r="C75" s="23"/>
      <c r="D75" s="27">
        <f>IFERROR(VLOOKUP(A75,[1]!TablaMateriales[#Data],2,FALSE),0)</f>
        <v>2000</v>
      </c>
      <c r="E75" s="25">
        <f t="shared" si="2"/>
        <v>16000</v>
      </c>
      <c r="F75" s="155"/>
    </row>
    <row r="76" spans="1:6" x14ac:dyDescent="0.35">
      <c r="A76" s="30" t="s">
        <v>754</v>
      </c>
      <c r="B76" s="78">
        <v>6</v>
      </c>
      <c r="C76" s="23"/>
      <c r="D76" s="27">
        <f>IFERROR(VLOOKUP(A76,[1]!TablaMateriales[#Data],2,FALSE),0)</f>
        <v>35000</v>
      </c>
      <c r="E76" s="25">
        <f t="shared" si="2"/>
        <v>210000</v>
      </c>
      <c r="F76" s="155"/>
    </row>
    <row r="77" spans="1:6" x14ac:dyDescent="0.35">
      <c r="A77" s="30" t="s">
        <v>755</v>
      </c>
      <c r="B77" s="78">
        <v>6</v>
      </c>
      <c r="C77" s="23"/>
      <c r="D77" s="27">
        <f>IFERROR(VLOOKUP(A77,[1]!TablaMateriales[#Data],2,FALSE),0)</f>
        <v>40000</v>
      </c>
      <c r="E77" s="25">
        <f t="shared" si="2"/>
        <v>240000</v>
      </c>
      <c r="F77" s="155"/>
    </row>
    <row r="78" spans="1:6" x14ac:dyDescent="0.35">
      <c r="A78" s="30" t="s">
        <v>749</v>
      </c>
      <c r="B78" s="78">
        <v>20</v>
      </c>
      <c r="C78" s="23"/>
      <c r="D78" s="27">
        <f>IFERROR(VLOOKUP(A78,[1]!TablaMateriales[#Data],2,FALSE),0)</f>
        <v>1000</v>
      </c>
      <c r="E78" s="25">
        <f t="shared" si="2"/>
        <v>20000</v>
      </c>
      <c r="F78" s="155"/>
    </row>
    <row r="79" spans="1:6" x14ac:dyDescent="0.35">
      <c r="A79" s="30" t="s">
        <v>750</v>
      </c>
      <c r="B79" s="78">
        <v>10</v>
      </c>
      <c r="C79" s="23"/>
      <c r="D79" s="27">
        <f>IFERROR(VLOOKUP(A79,[1]!TablaMateriales[#Data],2,FALSE),0)</f>
        <v>5000</v>
      </c>
      <c r="E79" s="25">
        <f t="shared" si="2"/>
        <v>50000</v>
      </c>
      <c r="F79" s="155"/>
    </row>
    <row r="80" spans="1:6" x14ac:dyDescent="0.35">
      <c r="A80" s="30" t="s">
        <v>751</v>
      </c>
      <c r="B80" s="78">
        <v>30</v>
      </c>
      <c r="C80" s="23"/>
      <c r="D80" s="27">
        <f>IFERROR(VLOOKUP(A80,[1]!TablaMateriales[#Data],2,FALSE),0)</f>
        <v>1500</v>
      </c>
      <c r="E80" s="25">
        <f t="shared" si="2"/>
        <v>45000</v>
      </c>
      <c r="F80" s="155"/>
    </row>
    <row r="81" spans="1:6" x14ac:dyDescent="0.35">
      <c r="A81" s="30" t="s">
        <v>764</v>
      </c>
      <c r="B81" s="78">
        <v>30</v>
      </c>
      <c r="C81" s="23"/>
      <c r="D81" s="27">
        <f>IFERROR(VLOOKUP(A81,[1]!TablaMateriales[#Data],2,FALSE),0)</f>
        <v>18000</v>
      </c>
      <c r="E81" s="25">
        <f t="shared" ref="E81:E87" si="3">B81*D81</f>
        <v>540000</v>
      </c>
      <c r="F81" s="155"/>
    </row>
    <row r="82" spans="1:6" x14ac:dyDescent="0.35">
      <c r="A82" s="30" t="s">
        <v>765</v>
      </c>
      <c r="B82" s="78">
        <v>20</v>
      </c>
      <c r="C82" s="23"/>
      <c r="D82" s="27">
        <f>IFERROR(VLOOKUP(A82,[1]!TablaMateriales[#Data],2,FALSE),0)</f>
        <v>1500</v>
      </c>
      <c r="E82" s="25">
        <f t="shared" si="3"/>
        <v>30000</v>
      </c>
      <c r="F82" s="155"/>
    </row>
    <row r="83" spans="1:6" x14ac:dyDescent="0.35">
      <c r="A83" s="30" t="s">
        <v>766</v>
      </c>
      <c r="B83" s="78">
        <v>20</v>
      </c>
      <c r="C83" s="23"/>
      <c r="D83" s="27">
        <f>IFERROR(VLOOKUP(A83,[1]!TablaMateriales[#Data],2,FALSE),0)</f>
        <v>2000</v>
      </c>
      <c r="E83" s="25">
        <f t="shared" si="3"/>
        <v>40000</v>
      </c>
      <c r="F83" s="155"/>
    </row>
    <row r="84" spans="1:6" x14ac:dyDescent="0.35">
      <c r="A84" s="79"/>
      <c r="B84" s="78"/>
      <c r="C84" s="23"/>
      <c r="D84" s="27">
        <f>IFERROR(VLOOKUP(A84,[1]!TablaMateriales[#Data],2,FALSE),0)</f>
        <v>0</v>
      </c>
      <c r="E84" s="25">
        <f t="shared" si="3"/>
        <v>0</v>
      </c>
      <c r="F84" s="155"/>
    </row>
    <row r="85" spans="1:6" x14ac:dyDescent="0.35">
      <c r="A85" s="30"/>
      <c r="B85" s="78"/>
      <c r="C85" s="23"/>
      <c r="D85" s="27">
        <f>IFERROR(VLOOKUP(A85,[1]!TablaMateriales[#Data],2,FALSE),0)</f>
        <v>0</v>
      </c>
      <c r="E85" s="25">
        <f t="shared" si="3"/>
        <v>0</v>
      </c>
      <c r="F85" s="155"/>
    </row>
    <row r="86" spans="1:6" x14ac:dyDescent="0.35">
      <c r="A86" s="31"/>
      <c r="B86" s="78"/>
      <c r="C86" s="23"/>
      <c r="D86" s="27">
        <f>IFERROR(VLOOKUP(A86,[1]!TablaMateriales[#Data],2,FALSE),0)</f>
        <v>0</v>
      </c>
      <c r="E86" s="25">
        <f t="shared" si="3"/>
        <v>0</v>
      </c>
      <c r="F86" s="155"/>
    </row>
    <row r="87" spans="1:6" x14ac:dyDescent="0.35">
      <c r="A87" s="31"/>
      <c r="B87" s="78"/>
      <c r="C87" s="23"/>
      <c r="D87" s="27">
        <f>IFERROR(VLOOKUP(A87,[1]!TablaMateriales[#Data],2,FALSE),0)</f>
        <v>0</v>
      </c>
      <c r="E87" s="27">
        <f t="shared" si="3"/>
        <v>0</v>
      </c>
      <c r="F87" s="173"/>
    </row>
    <row r="88" spans="1:6" x14ac:dyDescent="0.35">
      <c r="A88" s="31"/>
      <c r="B88" s="78"/>
      <c r="C88" s="23"/>
      <c r="D88" s="27">
        <f>IFERROR(VLOOKUP(A88,[1]!TablaMateriales[#Data],2,FALSE),0)</f>
        <v>0</v>
      </c>
      <c r="E88" s="27"/>
      <c r="F88" s="173"/>
    </row>
    <row r="89" spans="1:6" x14ac:dyDescent="0.35">
      <c r="A89" s="31"/>
      <c r="B89" s="78"/>
      <c r="C89" s="23"/>
      <c r="D89" s="27">
        <f>IFERROR(VLOOKUP(A89,[1]!TablaMateriales[#Data],2,FALSE),0)</f>
        <v>0</v>
      </c>
      <c r="E89" s="27"/>
      <c r="F89" s="173"/>
    </row>
    <row r="90" spans="1:6" x14ac:dyDescent="0.35">
      <c r="A90" s="31"/>
      <c r="B90" s="78"/>
      <c r="C90" s="23"/>
      <c r="D90" s="27">
        <f>IFERROR(VLOOKUP(A90,[1]!TablaMateriales[#Data],2,FALSE),0)</f>
        <v>0</v>
      </c>
      <c r="E90" s="27"/>
      <c r="F90" s="173"/>
    </row>
    <row r="91" spans="1:6" x14ac:dyDescent="0.35">
      <c r="A91" s="31"/>
      <c r="B91" s="78"/>
      <c r="C91" s="23"/>
      <c r="D91" s="27">
        <f>IFERROR(VLOOKUP(A91,[1]!TablaMateriales[#Data],2,FALSE),0)</f>
        <v>0</v>
      </c>
      <c r="E91" s="27"/>
      <c r="F91" s="173"/>
    </row>
    <row r="92" spans="1:6" ht="15" thickBot="1" x14ac:dyDescent="0.4">
      <c r="A92" s="31"/>
      <c r="B92" s="78"/>
      <c r="C92" s="23"/>
      <c r="D92" s="27">
        <f>IFERROR(VLOOKUP(A92,[1]!TablaMateriales[#Data],2,FALSE),0)</f>
        <v>0</v>
      </c>
      <c r="E92" s="27"/>
      <c r="F92" s="173"/>
    </row>
    <row r="93" spans="1:6" ht="15" thickBot="1" x14ac:dyDescent="0.4">
      <c r="A93" s="296"/>
      <c r="B93" s="297"/>
      <c r="C93" s="297"/>
      <c r="D93" s="297"/>
      <c r="E93" s="298"/>
      <c r="F93" s="28">
        <f>SUM(E64:E92)</f>
        <v>6917000</v>
      </c>
    </row>
    <row r="94" spans="1:6" x14ac:dyDescent="0.35">
      <c r="A94" s="33" t="s">
        <v>88</v>
      </c>
      <c r="B94" s="34" t="s">
        <v>83</v>
      </c>
      <c r="C94" s="35" t="s">
        <v>84</v>
      </c>
      <c r="D94" s="36" t="s">
        <v>89</v>
      </c>
      <c r="E94" s="37" t="s">
        <v>86</v>
      </c>
      <c r="F94" s="168"/>
    </row>
    <row r="95" spans="1:6" x14ac:dyDescent="0.35">
      <c r="A95" s="38" t="s">
        <v>596</v>
      </c>
      <c r="B95" s="34">
        <v>1</v>
      </c>
      <c r="C95" s="35">
        <v>28</v>
      </c>
      <c r="D95" s="39">
        <f>IFERROR(VLOOKUP(A95,[1]!Tabla8[#Data],3,FALSE),0)</f>
        <v>555393.74067333317</v>
      </c>
      <c r="E95" s="37">
        <f t="shared" ref="E95:E100" si="4">B95*C95*D95</f>
        <v>15551024.738853328</v>
      </c>
      <c r="F95" s="155"/>
    </row>
    <row r="96" spans="1:6" x14ac:dyDescent="0.35">
      <c r="A96" s="107" t="s">
        <v>273</v>
      </c>
      <c r="B96" s="20">
        <v>1</v>
      </c>
      <c r="C96" s="40">
        <v>28</v>
      </c>
      <c r="D96" s="39">
        <f>IFERROR(VLOOKUP(A96,[1]!Tabla8[#Data],3,FALSE),0)</f>
        <v>555393.74067333317</v>
      </c>
      <c r="E96" s="21">
        <f t="shared" si="4"/>
        <v>15551024.738853328</v>
      </c>
      <c r="F96" s="155"/>
    </row>
    <row r="97" spans="1:6" x14ac:dyDescent="0.35">
      <c r="A97" s="107" t="s">
        <v>576</v>
      </c>
      <c r="B97" s="20">
        <v>1</v>
      </c>
      <c r="C97" s="35">
        <v>28</v>
      </c>
      <c r="D97" s="39">
        <f>IFERROR(VLOOKUP(A97,[1]!Tabla8[#Data],3,FALSE),0)</f>
        <v>407197.80492666672</v>
      </c>
      <c r="E97" s="21">
        <f t="shared" si="4"/>
        <v>11401538.537946668</v>
      </c>
      <c r="F97" s="155"/>
    </row>
    <row r="98" spans="1:6" x14ac:dyDescent="0.35">
      <c r="A98" s="107" t="s">
        <v>530</v>
      </c>
      <c r="B98" s="20">
        <v>1</v>
      </c>
      <c r="C98" s="35">
        <v>28</v>
      </c>
      <c r="D98" s="39">
        <f>IFERROR(VLOOKUP(A98,[1]!Tabla8[#Data],3,FALSE),0)</f>
        <v>355821.87609999999</v>
      </c>
      <c r="E98" s="21">
        <f t="shared" si="4"/>
        <v>9963012.5307999998</v>
      </c>
      <c r="F98" s="155"/>
    </row>
    <row r="99" spans="1:6" x14ac:dyDescent="0.35">
      <c r="A99" s="107" t="s">
        <v>223</v>
      </c>
      <c r="B99" s="20">
        <v>1</v>
      </c>
      <c r="C99" s="35">
        <v>28</v>
      </c>
      <c r="D99" s="39">
        <f>IFERROR(VLOOKUP(A99,[1]!Tabla8[#Data],3,FALSE),0)</f>
        <v>355821.87609999999</v>
      </c>
      <c r="E99" s="21">
        <f t="shared" si="4"/>
        <v>9963012.5307999998</v>
      </c>
      <c r="F99" s="155"/>
    </row>
    <row r="100" spans="1:6" x14ac:dyDescent="0.35">
      <c r="A100" s="107"/>
      <c r="B100" s="20"/>
      <c r="C100" s="40"/>
      <c r="D100" s="39">
        <f>IFERROR(VLOOKUP(A100,[1]!Tabla8[#Data],3,FALSE),0)</f>
        <v>0</v>
      </c>
      <c r="E100" s="21">
        <f t="shared" si="4"/>
        <v>0</v>
      </c>
      <c r="F100" s="155"/>
    </row>
    <row r="101" spans="1:6" x14ac:dyDescent="0.35">
      <c r="A101" s="287">
        <v>3</v>
      </c>
      <c r="B101" s="287"/>
      <c r="C101" s="287"/>
      <c r="D101" s="287"/>
      <c r="E101" s="287"/>
      <c r="F101" s="42">
        <f>SUM(E95:E100)</f>
        <v>62429613.077253327</v>
      </c>
    </row>
    <row r="102" spans="1:6" x14ac:dyDescent="0.35">
      <c r="A102" s="33" t="s">
        <v>279</v>
      </c>
      <c r="B102" s="34" t="s">
        <v>83</v>
      </c>
      <c r="C102" s="35" t="s">
        <v>84</v>
      </c>
      <c r="D102" s="36" t="s">
        <v>269</v>
      </c>
      <c r="E102" s="37" t="s">
        <v>86</v>
      </c>
      <c r="F102" s="283"/>
    </row>
    <row r="103" spans="1:6" x14ac:dyDescent="0.35">
      <c r="A103" s="108"/>
      <c r="B103" s="108"/>
      <c r="C103" s="108"/>
      <c r="D103" s="108">
        <f>IFERROR(VLOOKUP(A103,[1]!TablaTransporte[#Data],2,FALSE),0)</f>
        <v>0</v>
      </c>
      <c r="E103" s="108">
        <f>B103*C103*D103</f>
        <v>0</v>
      </c>
      <c r="F103" s="284"/>
    </row>
    <row r="104" spans="1:6" x14ac:dyDescent="0.35">
      <c r="A104" s="108" t="s">
        <v>240</v>
      </c>
      <c r="B104" s="108">
        <v>1</v>
      </c>
      <c r="C104" s="108">
        <v>20</v>
      </c>
      <c r="D104" s="108">
        <f>IFERROR(VLOOKUP(A104,[1]!TablaTransporte[#Data],2,FALSE),0)</f>
        <v>550000</v>
      </c>
      <c r="E104" s="108">
        <f>B104*C104*D104</f>
        <v>11000000</v>
      </c>
      <c r="F104" s="284"/>
    </row>
    <row r="105" spans="1:6" x14ac:dyDescent="0.35">
      <c r="A105" s="108"/>
      <c r="B105" s="108"/>
      <c r="C105" s="108"/>
      <c r="D105" s="108">
        <f>IFERROR(VLOOKUP(A105,[1]!TablaTransporte[#Data],2,FALSE),0)</f>
        <v>0</v>
      </c>
      <c r="E105" s="108">
        <f>B105*C105*D105</f>
        <v>0</v>
      </c>
      <c r="F105" s="284"/>
    </row>
    <row r="106" spans="1:6" x14ac:dyDescent="0.35">
      <c r="A106" s="108"/>
      <c r="B106" s="108"/>
      <c r="C106" s="108"/>
      <c r="D106" s="108">
        <f>IFERROR(VLOOKUP(A106,[1]!TablaTransporte[#Data],2,FALSE),0)</f>
        <v>0</v>
      </c>
      <c r="E106" s="108">
        <f>B106*C106*D106</f>
        <v>0</v>
      </c>
      <c r="F106" s="285"/>
    </row>
    <row r="107" spans="1:6" x14ac:dyDescent="0.35">
      <c r="A107" s="43"/>
      <c r="B107" s="43"/>
      <c r="C107" s="43"/>
      <c r="D107" s="43"/>
      <c r="E107" s="43"/>
      <c r="F107" s="42">
        <f>E104</f>
        <v>11000000</v>
      </c>
    </row>
    <row r="108" spans="1:6" x14ac:dyDescent="0.35">
      <c r="A108" s="288"/>
      <c r="B108" s="289"/>
      <c r="C108" s="289"/>
      <c r="D108" s="289"/>
      <c r="E108" s="290"/>
      <c r="F108" s="42">
        <f>F62+F93+F101+F107</f>
        <v>103366613.07725333</v>
      </c>
    </row>
    <row r="109" spans="1:6" ht="15" thickBot="1" x14ac:dyDescent="0.4">
      <c r="A109" s="291">
        <v>0.08</v>
      </c>
      <c r="B109" s="292"/>
      <c r="C109" s="292"/>
      <c r="D109" s="292"/>
      <c r="E109" s="293"/>
      <c r="F109" s="44">
        <f>F108*A109</f>
        <v>8269329.046180266</v>
      </c>
    </row>
    <row r="110" spans="1:6" ht="15" thickBot="1" x14ac:dyDescent="0.4">
      <c r="A110" s="299"/>
      <c r="B110" s="300"/>
      <c r="C110" s="300"/>
      <c r="D110" s="300"/>
      <c r="E110" s="301"/>
      <c r="F110" s="28">
        <f>F108+F109</f>
        <v>111635942.12343359</v>
      </c>
    </row>
    <row r="111" spans="1:6" ht="15" thickBot="1" x14ac:dyDescent="0.4">
      <c r="A111" s="302">
        <v>0.12</v>
      </c>
      <c r="B111" s="300"/>
      <c r="C111" s="300"/>
      <c r="D111" s="300"/>
      <c r="E111" s="301"/>
      <c r="F111" s="28">
        <f>F110*A111</f>
        <v>13396313.054812031</v>
      </c>
    </row>
    <row r="112" spans="1:6" ht="15" thickBot="1" x14ac:dyDescent="0.4">
      <c r="A112" s="286"/>
      <c r="B112" s="286"/>
      <c r="C112" s="286"/>
      <c r="D112" s="286"/>
      <c r="E112" s="286"/>
      <c r="F112" s="28">
        <f>F110+F111</f>
        <v>125032255.17824562</v>
      </c>
    </row>
    <row r="113" spans="6:6" x14ac:dyDescent="0.35">
      <c r="F113" s="80">
        <f>F112/F3</f>
        <v>6251612.7589122811</v>
      </c>
    </row>
  </sheetData>
  <mergeCells count="10">
    <mergeCell ref="A112:E112"/>
    <mergeCell ref="A101:E101"/>
    <mergeCell ref="F102:F106"/>
    <mergeCell ref="A108:E108"/>
    <mergeCell ref="A109:E109"/>
    <mergeCell ref="A93:E93"/>
    <mergeCell ref="A1:F1"/>
    <mergeCell ref="A62:E62"/>
    <mergeCell ref="A110:E110"/>
    <mergeCell ref="A111:E111"/>
  </mergeCells>
  <dataValidations count="4">
    <dataValidation type="list" allowBlank="1" showInputMessage="1" showErrorMessage="1" sqref="A103:A106" xr:uid="{7678E992-1269-4211-BA28-82C39846245C}">
      <formula1>ListaTransporte</formula1>
    </dataValidation>
    <dataValidation type="list" allowBlank="1" showInputMessage="1" showErrorMessage="1" sqref="A64:A93" xr:uid="{7FF9A3FF-6DEF-4479-B641-040F835A33B5}">
      <formula1>ListaMateriales</formula1>
    </dataValidation>
    <dataValidation type="list" allowBlank="1" showInputMessage="1" showErrorMessage="1" sqref="A3:A62" xr:uid="{C681402D-2FD2-41FD-8934-5CC5106BD13A}">
      <formula1>ListaEquipos</formula1>
    </dataValidation>
    <dataValidation type="list" allowBlank="1" showInputMessage="1" showErrorMessage="1" sqref="A95:A100" xr:uid="{5381D782-CD74-4F92-BDCF-5164053E7798}">
      <formula1>ListaProfesiones</formula1>
    </dataValidation>
  </dataValidation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8185-0708-40FC-B758-124EC95F4374}">
  <dimension ref="A1:F63"/>
  <sheetViews>
    <sheetView workbookViewId="0">
      <selection activeCell="J16" sqref="J16"/>
    </sheetView>
  </sheetViews>
  <sheetFormatPr baseColWidth="10" defaultRowHeight="14.5" x14ac:dyDescent="0.35"/>
  <cols>
    <col min="1" max="1" width="22.90625" bestFit="1" customWidth="1"/>
    <col min="2" max="2" width="5.36328125" bestFit="1" customWidth="1"/>
    <col min="3" max="3" width="9.6328125" bestFit="1" customWidth="1"/>
    <col min="4" max="4" width="10.08984375" bestFit="1" customWidth="1"/>
    <col min="6" max="6" width="11.6328125" bestFit="1" customWidth="1"/>
  </cols>
  <sheetData>
    <row r="1" spans="1:6" x14ac:dyDescent="0.35">
      <c r="A1" s="306" t="s">
        <v>212</v>
      </c>
      <c r="B1" s="306"/>
      <c r="C1" s="306"/>
      <c r="D1" s="306"/>
      <c r="E1" s="306"/>
      <c r="F1" s="307"/>
    </row>
    <row r="2" spans="1:6" x14ac:dyDescent="0.35">
      <c r="A2" s="33" t="s">
        <v>82</v>
      </c>
      <c r="B2" s="34" t="s">
        <v>83</v>
      </c>
      <c r="C2" s="45" t="s">
        <v>84</v>
      </c>
      <c r="D2" s="46" t="s">
        <v>85</v>
      </c>
      <c r="E2" s="37" t="s">
        <v>86</v>
      </c>
      <c r="F2" s="77" t="str">
        <f>'RESUMEN ACTUALIZADO'!C62</f>
        <v>JORNADA</v>
      </c>
    </row>
    <row r="3" spans="1:6" x14ac:dyDescent="0.35">
      <c r="A3" s="33"/>
      <c r="B3" s="34"/>
      <c r="C3" s="45"/>
      <c r="D3" s="46"/>
      <c r="E3" s="37"/>
      <c r="F3" s="77">
        <f>'RESUMEN ACTUALIZADO'!D62</f>
        <v>25</v>
      </c>
    </row>
    <row r="4" spans="1:6" x14ac:dyDescent="0.35">
      <c r="A4" s="24" t="s">
        <v>225</v>
      </c>
      <c r="B4" s="22">
        <v>2</v>
      </c>
      <c r="C4" s="23"/>
      <c r="D4" s="24">
        <f>IFERROR(VLOOKUP(A4,[1]!TablaEquipos[#Data],2,FALSE),0)</f>
        <v>1500</v>
      </c>
      <c r="E4" s="25">
        <f t="shared" ref="E4:E11" si="0">B4*C4*D4</f>
        <v>0</v>
      </c>
      <c r="F4" s="310"/>
    </row>
    <row r="5" spans="1:6" x14ac:dyDescent="0.35">
      <c r="A5" s="26" t="s">
        <v>226</v>
      </c>
      <c r="B5" s="22">
        <v>1</v>
      </c>
      <c r="C5" s="23"/>
      <c r="D5" s="24">
        <f>IFERROR(VLOOKUP(A5,[1]!TablaEquipos[#Data],2,FALSE),0)</f>
        <v>700</v>
      </c>
      <c r="E5" s="25">
        <f t="shared" si="0"/>
        <v>0</v>
      </c>
      <c r="F5" s="310"/>
    </row>
    <row r="6" spans="1:6" x14ac:dyDescent="0.35">
      <c r="A6" s="26" t="s">
        <v>227</v>
      </c>
      <c r="B6" s="22">
        <v>4</v>
      </c>
      <c r="C6" s="23"/>
      <c r="D6" s="24">
        <f>IFERROR(VLOOKUP(A6,[1]!TablaEquipos[#Data],2,FALSE),0)</f>
        <v>700</v>
      </c>
      <c r="E6" s="25">
        <f t="shared" si="0"/>
        <v>0</v>
      </c>
      <c r="F6" s="310"/>
    </row>
    <row r="7" spans="1:6" x14ac:dyDescent="0.35">
      <c r="A7" s="24" t="s">
        <v>228</v>
      </c>
      <c r="B7" s="22">
        <v>4</v>
      </c>
      <c r="C7" s="23"/>
      <c r="D7" s="24">
        <f>IFERROR(VLOOKUP(A7,[1]!TablaEquipos[#Data],2,FALSE),0)</f>
        <v>1500</v>
      </c>
      <c r="E7" s="25">
        <f t="shared" si="0"/>
        <v>0</v>
      </c>
      <c r="F7" s="310"/>
    </row>
    <row r="8" spans="1:6" x14ac:dyDescent="0.35">
      <c r="A8" s="26" t="s">
        <v>230</v>
      </c>
      <c r="B8" s="22">
        <v>1</v>
      </c>
      <c r="C8" s="23"/>
      <c r="D8" s="24">
        <f>IFERROR(VLOOKUP(A8,[1]!TablaEquipos[#Data],2,FALSE),0)</f>
        <v>15000</v>
      </c>
      <c r="E8" s="25">
        <f t="shared" si="0"/>
        <v>0</v>
      </c>
      <c r="F8" s="310"/>
    </row>
    <row r="9" spans="1:6" x14ac:dyDescent="0.35">
      <c r="A9" s="24" t="s">
        <v>231</v>
      </c>
      <c r="B9" s="22">
        <v>2</v>
      </c>
      <c r="C9" s="23"/>
      <c r="D9" s="24">
        <f>IFERROR(VLOOKUP(A9,[1]!TablaEquipos[#Data],2,FALSE),0)</f>
        <v>1500</v>
      </c>
      <c r="E9" s="25">
        <f t="shared" si="0"/>
        <v>0</v>
      </c>
      <c r="F9" s="310"/>
    </row>
    <row r="10" spans="1:6" x14ac:dyDescent="0.35">
      <c r="A10" s="81" t="s">
        <v>232</v>
      </c>
      <c r="B10" s="82">
        <v>1</v>
      </c>
      <c r="C10" s="32"/>
      <c r="D10" s="81">
        <f>IFERROR(VLOOKUP(A10,[1]!TablaEquipos[#Data],2,FALSE),0)</f>
        <v>500</v>
      </c>
      <c r="E10" s="83">
        <f t="shared" si="0"/>
        <v>0</v>
      </c>
      <c r="F10" s="310"/>
    </row>
    <row r="11" spans="1:6" x14ac:dyDescent="0.35">
      <c r="A11" s="24" t="s">
        <v>233</v>
      </c>
      <c r="B11" s="22">
        <v>1</v>
      </c>
      <c r="C11" s="23"/>
      <c r="D11" s="24">
        <f>IFERROR(VLOOKUP(A11,[1]!TablaEquipos[#Data],2,FALSE),0)</f>
        <v>500</v>
      </c>
      <c r="E11" s="25">
        <f t="shared" si="0"/>
        <v>0</v>
      </c>
      <c r="F11" s="310"/>
    </row>
    <row r="12" spans="1:6" x14ac:dyDescent="0.35">
      <c r="A12" s="24" t="s">
        <v>234</v>
      </c>
      <c r="B12" s="22"/>
      <c r="C12" s="23"/>
      <c r="D12" s="24">
        <f>IFERROR(VLOOKUP(A12,[1]!TablaEquipos[#Data],2,FALSE),0)</f>
        <v>135000</v>
      </c>
      <c r="E12" s="25">
        <f>B12*D12</f>
        <v>0</v>
      </c>
      <c r="F12" s="310"/>
    </row>
    <row r="13" spans="1:6" x14ac:dyDescent="0.35">
      <c r="A13" s="24" t="s">
        <v>235</v>
      </c>
      <c r="B13" s="22">
        <v>2</v>
      </c>
      <c r="C13" s="23"/>
      <c r="D13" s="24">
        <f>IFERROR(VLOOKUP(A13,[1]!TablaEquipos[#Data],2,FALSE),0)</f>
        <v>0</v>
      </c>
      <c r="E13" s="25">
        <f>B13*C13*D13</f>
        <v>0</v>
      </c>
      <c r="F13" s="310"/>
    </row>
    <row r="14" spans="1:6" x14ac:dyDescent="0.35">
      <c r="A14" s="24" t="s">
        <v>236</v>
      </c>
      <c r="B14" s="22">
        <v>2</v>
      </c>
      <c r="C14" s="23"/>
      <c r="D14" s="24">
        <f>IFERROR(VLOOKUP(A14,[1]!TablaEquipos[#Data],2,FALSE),0)</f>
        <v>9000</v>
      </c>
      <c r="E14" s="25">
        <f>B14*C14*D14</f>
        <v>0</v>
      </c>
      <c r="F14" s="310"/>
    </row>
    <row r="15" spans="1:6" x14ac:dyDescent="0.35">
      <c r="A15" s="24" t="s">
        <v>237</v>
      </c>
      <c r="B15" s="22">
        <v>2</v>
      </c>
      <c r="C15" s="23"/>
      <c r="D15" s="24">
        <f>IFERROR(VLOOKUP(A15,[1]!TablaEquipos[#Data],2,FALSE),0)</f>
        <v>1000</v>
      </c>
      <c r="E15" s="25">
        <f>B15*C15*D15</f>
        <v>0</v>
      </c>
      <c r="F15" s="310"/>
    </row>
    <row r="16" spans="1:6" x14ac:dyDescent="0.35">
      <c r="A16" s="24"/>
      <c r="B16" s="22"/>
      <c r="C16" s="23"/>
      <c r="D16" s="24">
        <f>IFERROR(VLOOKUP(A16,[1]!TablaEquipos[#Data],2,FALSE),0)</f>
        <v>0</v>
      </c>
      <c r="E16" s="25"/>
      <c r="F16" s="310"/>
    </row>
    <row r="17" spans="1:6" x14ac:dyDescent="0.35">
      <c r="A17" s="24"/>
      <c r="B17" s="22"/>
      <c r="C17" s="23"/>
      <c r="D17" s="24">
        <f>IFERROR(VLOOKUP(A17,[1]!TablaEquipos[#Data],2,FALSE),0)</f>
        <v>0</v>
      </c>
      <c r="E17" s="25"/>
      <c r="F17" s="310"/>
    </row>
    <row r="18" spans="1:6" x14ac:dyDescent="0.35">
      <c r="A18" s="24"/>
      <c r="B18" s="22"/>
      <c r="C18" s="23"/>
      <c r="D18" s="24">
        <f>IFERROR(VLOOKUP(A18,[1]!TablaEquipos[#Data],2,FALSE),0)</f>
        <v>0</v>
      </c>
      <c r="E18" s="25"/>
      <c r="F18" s="310"/>
    </row>
    <row r="19" spans="1:6" x14ac:dyDescent="0.35">
      <c r="A19" s="24"/>
      <c r="B19" s="22"/>
      <c r="C19" s="23"/>
      <c r="D19" s="24">
        <f>IFERROR(VLOOKUP(A19,[1]!TablaEquipos[#Data],2,FALSE),0)</f>
        <v>0</v>
      </c>
      <c r="E19" s="25"/>
      <c r="F19" s="310"/>
    </row>
    <row r="20" spans="1:6" x14ac:dyDescent="0.35">
      <c r="A20" s="24"/>
      <c r="B20" s="22"/>
      <c r="C20" s="23"/>
      <c r="D20" s="24">
        <f>IFERROR(VLOOKUP(A20,[1]!TablaEquipos[#Data],2,FALSE),0)</f>
        <v>0</v>
      </c>
      <c r="E20" s="25"/>
      <c r="F20" s="310"/>
    </row>
    <row r="21" spans="1:6" x14ac:dyDescent="0.35">
      <c r="A21" s="24"/>
      <c r="B21" s="22"/>
      <c r="C21" s="23"/>
      <c r="D21" s="24">
        <f>IFERROR(VLOOKUP(A21,[1]!TablaEquipos[#Data],2,FALSE),0)</f>
        <v>0</v>
      </c>
      <c r="E21" s="25"/>
      <c r="F21" s="310"/>
    </row>
    <row r="22" spans="1:6" ht="15" thickBot="1" x14ac:dyDescent="0.4">
      <c r="A22" s="294"/>
      <c r="B22" s="295"/>
      <c r="C22" s="295"/>
      <c r="D22" s="295"/>
      <c r="E22" s="295"/>
      <c r="F22" s="84">
        <f>SUM(E4:E21)</f>
        <v>0</v>
      </c>
    </row>
    <row r="23" spans="1:6" x14ac:dyDescent="0.35">
      <c r="A23" s="33" t="s">
        <v>270</v>
      </c>
      <c r="B23" s="34" t="s">
        <v>83</v>
      </c>
      <c r="C23" s="45" t="s">
        <v>84</v>
      </c>
      <c r="D23" s="46" t="s">
        <v>269</v>
      </c>
      <c r="E23" s="37" t="s">
        <v>86</v>
      </c>
      <c r="F23" s="280"/>
    </row>
    <row r="24" spans="1:6" x14ac:dyDescent="0.35">
      <c r="A24" s="24" t="s">
        <v>253</v>
      </c>
      <c r="B24" s="22"/>
      <c r="C24" s="29"/>
      <c r="D24" s="27">
        <f>IFERROR(VLOOKUP(A24,[1]!TablaMateriales[#Data],2,FALSE),0)</f>
        <v>35000</v>
      </c>
      <c r="E24" s="25">
        <f>B24*D24</f>
        <v>0</v>
      </c>
      <c r="F24" s="281"/>
    </row>
    <row r="25" spans="1:6" x14ac:dyDescent="0.35">
      <c r="A25" s="30" t="s">
        <v>254</v>
      </c>
      <c r="B25" s="22"/>
      <c r="C25" s="29"/>
      <c r="D25" s="27">
        <f>IFERROR(VLOOKUP(A25,[1]!TablaMateriales[#Data],2,FALSE),0)</f>
        <v>20000</v>
      </c>
      <c r="E25" s="25">
        <f>B25*D25</f>
        <v>0</v>
      </c>
      <c r="F25" s="281"/>
    </row>
    <row r="26" spans="1:6" x14ac:dyDescent="0.35">
      <c r="A26" s="30" t="s">
        <v>255</v>
      </c>
      <c r="B26" s="22"/>
      <c r="C26" s="29"/>
      <c r="D26" s="27">
        <f>IFERROR(VLOOKUP(A26,[1]!TablaMateriales[#Data],2,FALSE),0)</f>
        <v>50000</v>
      </c>
      <c r="E26" s="25">
        <f>B26*D26</f>
        <v>0</v>
      </c>
      <c r="F26" s="281"/>
    </row>
    <row r="27" spans="1:6" x14ac:dyDescent="0.35">
      <c r="A27" s="30" t="s">
        <v>256</v>
      </c>
      <c r="B27" s="22"/>
      <c r="C27" s="29"/>
      <c r="D27" s="27">
        <f>IFERROR(VLOOKUP(A27,[1]!TablaMateriales[#Data],2,FALSE),0)</f>
        <v>0</v>
      </c>
      <c r="E27" s="25">
        <f>B27*D27</f>
        <v>0</v>
      </c>
      <c r="F27" s="281"/>
    </row>
    <row r="28" spans="1:6" x14ac:dyDescent="0.35">
      <c r="A28" s="30" t="s">
        <v>257</v>
      </c>
      <c r="B28" s="78"/>
      <c r="C28" s="23"/>
      <c r="D28" s="27">
        <f>IFERROR(VLOOKUP(A28,[1]!TablaMateriales[#Data],2,FALSE),0)</f>
        <v>9500</v>
      </c>
      <c r="E28" s="25">
        <f>B28*D28</f>
        <v>0</v>
      </c>
      <c r="F28" s="281"/>
    </row>
    <row r="29" spans="1:6" x14ac:dyDescent="0.35">
      <c r="A29" s="30" t="s">
        <v>258</v>
      </c>
      <c r="B29" s="78"/>
      <c r="C29" s="23"/>
      <c r="D29" s="27">
        <f>IFERROR(VLOOKUP(A29,[1]!TablaMateriales[#Data],2,FALSE),0)</f>
        <v>9500</v>
      </c>
      <c r="E29" s="25">
        <f t="shared" ref="E29:E35" si="1">B29*D29</f>
        <v>0</v>
      </c>
      <c r="F29" s="281"/>
    </row>
    <row r="30" spans="1:6" x14ac:dyDescent="0.35">
      <c r="A30" s="30" t="s">
        <v>259</v>
      </c>
      <c r="B30" s="78"/>
      <c r="C30" s="23"/>
      <c r="D30" s="27">
        <f>IFERROR(VLOOKUP(A30,[1]!TablaMateriales[#Data],2,FALSE),0)</f>
        <v>15000</v>
      </c>
      <c r="E30" s="25">
        <f t="shared" si="1"/>
        <v>0</v>
      </c>
      <c r="F30" s="281"/>
    </row>
    <row r="31" spans="1:6" x14ac:dyDescent="0.35">
      <c r="A31" s="30" t="s">
        <v>260</v>
      </c>
      <c r="B31" s="78"/>
      <c r="C31" s="23"/>
      <c r="D31" s="27">
        <f>IFERROR(VLOOKUP(A31,[1]!TablaMateriales[#Data],2,FALSE),0)</f>
        <v>20000</v>
      </c>
      <c r="E31" s="25">
        <f t="shared" si="1"/>
        <v>0</v>
      </c>
      <c r="F31" s="281"/>
    </row>
    <row r="32" spans="1:6" ht="23" x14ac:dyDescent="0.35">
      <c r="A32" s="79" t="s">
        <v>261</v>
      </c>
      <c r="B32" s="78"/>
      <c r="C32" s="23"/>
      <c r="D32" s="27">
        <f>IFERROR(VLOOKUP(A32,[1]!TablaMateriales[#Data],2,FALSE),0)</f>
        <v>55000</v>
      </c>
      <c r="E32" s="25">
        <f t="shared" si="1"/>
        <v>0</v>
      </c>
      <c r="F32" s="281"/>
    </row>
    <row r="33" spans="1:6" x14ac:dyDescent="0.35">
      <c r="A33" s="30" t="s">
        <v>262</v>
      </c>
      <c r="B33" s="78"/>
      <c r="C33" s="23"/>
      <c r="D33" s="27">
        <f>IFERROR(VLOOKUP(A33,[1]!TablaMateriales[#Data],2,FALSE),0)</f>
        <v>15900</v>
      </c>
      <c r="E33" s="25">
        <f t="shared" si="1"/>
        <v>0</v>
      </c>
      <c r="F33" s="281"/>
    </row>
    <row r="34" spans="1:6" x14ac:dyDescent="0.35">
      <c r="A34" s="31" t="s">
        <v>263</v>
      </c>
      <c r="B34" s="78"/>
      <c r="C34" s="23"/>
      <c r="D34" s="27">
        <f>IFERROR(VLOOKUP(A34,[1]!TablaMateriales[#Data],2,FALSE),0)</f>
        <v>14000</v>
      </c>
      <c r="E34" s="25">
        <f t="shared" si="1"/>
        <v>0</v>
      </c>
      <c r="F34" s="281"/>
    </row>
    <row r="35" spans="1:6" x14ac:dyDescent="0.35">
      <c r="A35" s="31" t="s">
        <v>264</v>
      </c>
      <c r="B35" s="78"/>
      <c r="C35" s="23"/>
      <c r="D35" s="27">
        <f>IFERROR(VLOOKUP(A35,[1]!TablaMateriales[#Data],2,FALSE),0)</f>
        <v>3800</v>
      </c>
      <c r="E35" s="27">
        <f t="shared" si="1"/>
        <v>0</v>
      </c>
      <c r="F35" s="282"/>
    </row>
    <row r="36" spans="1:6" x14ac:dyDescent="0.35">
      <c r="A36" s="31"/>
      <c r="B36" s="78"/>
      <c r="C36" s="23"/>
      <c r="D36" s="27">
        <f>IFERROR(VLOOKUP(A36,[1]!TablaMateriales[#Data],2,FALSE),0)</f>
        <v>0</v>
      </c>
      <c r="E36" s="27"/>
      <c r="F36" s="282"/>
    </row>
    <row r="37" spans="1:6" x14ac:dyDescent="0.35">
      <c r="A37" s="31"/>
      <c r="B37" s="78"/>
      <c r="C37" s="23"/>
      <c r="D37" s="27">
        <f>IFERROR(VLOOKUP(A37,[1]!TablaMateriales[#Data],2,FALSE),0)</f>
        <v>0</v>
      </c>
      <c r="E37" s="27"/>
      <c r="F37" s="282"/>
    </row>
    <row r="38" spans="1:6" x14ac:dyDescent="0.35">
      <c r="A38" s="31"/>
      <c r="B38" s="78"/>
      <c r="C38" s="23"/>
      <c r="D38" s="27">
        <f>IFERROR(VLOOKUP(A38,[1]!TablaMateriales[#Data],2,FALSE),0)</f>
        <v>0</v>
      </c>
      <c r="E38" s="27"/>
      <c r="F38" s="282"/>
    </row>
    <row r="39" spans="1:6" x14ac:dyDescent="0.35">
      <c r="A39" s="31"/>
      <c r="B39" s="78"/>
      <c r="C39" s="23"/>
      <c r="D39" s="27">
        <f>IFERROR(VLOOKUP(A39,[1]!TablaMateriales[#Data],2,FALSE),0)</f>
        <v>0</v>
      </c>
      <c r="E39" s="27"/>
      <c r="F39" s="282"/>
    </row>
    <row r="40" spans="1:6" ht="15" thickBot="1" x14ac:dyDescent="0.4">
      <c r="A40" s="31"/>
      <c r="B40" s="78"/>
      <c r="C40" s="23"/>
      <c r="D40" s="27">
        <f>IFERROR(VLOOKUP(A40,[1]!TablaMateriales[#Data],2,FALSE),0)</f>
        <v>0</v>
      </c>
      <c r="E40" s="27"/>
      <c r="F40" s="282"/>
    </row>
    <row r="41" spans="1:6" ht="15" thickBot="1" x14ac:dyDescent="0.4">
      <c r="A41" s="296"/>
      <c r="B41" s="297"/>
      <c r="C41" s="297"/>
      <c r="D41" s="297"/>
      <c r="E41" s="298"/>
      <c r="F41" s="28">
        <f>SUM(E24:E40)</f>
        <v>0</v>
      </c>
    </row>
    <row r="42" spans="1:6" x14ac:dyDescent="0.35">
      <c r="A42" s="33" t="s">
        <v>88</v>
      </c>
      <c r="B42" s="34" t="s">
        <v>83</v>
      </c>
      <c r="C42" s="35" t="s">
        <v>84</v>
      </c>
      <c r="D42" s="36" t="s">
        <v>89</v>
      </c>
      <c r="E42" s="37" t="s">
        <v>86</v>
      </c>
      <c r="F42" s="280"/>
    </row>
    <row r="43" spans="1:6" x14ac:dyDescent="0.35">
      <c r="A43" s="38" t="s">
        <v>272</v>
      </c>
      <c r="B43" s="34">
        <v>1</v>
      </c>
      <c r="C43" s="35"/>
      <c r="D43" s="39">
        <f>IFERROR(VLOOKUP(A43,[1]!Tabla8[#Data],3,FALSE),0)</f>
        <v>555393.74067333317</v>
      </c>
      <c r="E43" s="37">
        <f>B43*C43*D43</f>
        <v>0</v>
      </c>
      <c r="F43" s="281"/>
    </row>
    <row r="44" spans="1:6" x14ac:dyDescent="0.35">
      <c r="A44" s="107" t="s">
        <v>273</v>
      </c>
      <c r="B44" s="20">
        <v>1</v>
      </c>
      <c r="C44" s="40"/>
      <c r="D44" s="39">
        <f>IFERROR(VLOOKUP(A44,[1]!Tabla8[#Data],3,FALSE),0)</f>
        <v>555393.74067333317</v>
      </c>
      <c r="E44" s="21">
        <f t="shared" ref="E44:E50" si="2">B44*C44*D44</f>
        <v>0</v>
      </c>
      <c r="F44" s="281"/>
    </row>
    <row r="45" spans="1:6" x14ac:dyDescent="0.35">
      <c r="A45" s="107" t="s">
        <v>277</v>
      </c>
      <c r="B45" s="20">
        <v>1</v>
      </c>
      <c r="C45" s="35"/>
      <c r="D45" s="39">
        <f>IFERROR(VLOOKUP(A45,[1]!Tabla8[#Data],3,FALSE),0)</f>
        <v>555393.74067333317</v>
      </c>
      <c r="E45" s="21">
        <f>B45*C45*D45</f>
        <v>0</v>
      </c>
      <c r="F45" s="281"/>
    </row>
    <row r="46" spans="1:6" x14ac:dyDescent="0.35">
      <c r="A46" s="107" t="s">
        <v>278</v>
      </c>
      <c r="B46" s="20">
        <v>1.5</v>
      </c>
      <c r="C46" s="35"/>
      <c r="D46" s="39">
        <f>IFERROR(VLOOKUP(A46,[1]!Tabla8[#Data],3,FALSE),0)</f>
        <v>407197.80492666672</v>
      </c>
      <c r="E46" s="21">
        <f>B46*C46*D46</f>
        <v>0</v>
      </c>
      <c r="F46" s="281"/>
    </row>
    <row r="47" spans="1:6" x14ac:dyDescent="0.35">
      <c r="A47" s="107" t="s">
        <v>276</v>
      </c>
      <c r="B47" s="20">
        <v>2</v>
      </c>
      <c r="C47" s="35"/>
      <c r="D47" s="39">
        <f>IFERROR(VLOOKUP(A47,[1]!Tabla8[#Data],3,FALSE),0)</f>
        <v>407197.80492666672</v>
      </c>
      <c r="E47" s="21">
        <f>B47*C47*D47</f>
        <v>0</v>
      </c>
      <c r="F47" s="281"/>
    </row>
    <row r="48" spans="1:6" x14ac:dyDescent="0.35">
      <c r="A48" s="107" t="s">
        <v>274</v>
      </c>
      <c r="B48" s="20">
        <v>1</v>
      </c>
      <c r="C48" s="35"/>
      <c r="D48" s="39">
        <f>IFERROR(VLOOKUP(A48,[1]!Tabla8[#Data],3,FALSE),0)</f>
        <v>371571.3297066667</v>
      </c>
      <c r="E48" s="21">
        <f t="shared" si="2"/>
        <v>0</v>
      </c>
      <c r="F48" s="281"/>
    </row>
    <row r="49" spans="1:6" x14ac:dyDescent="0.35">
      <c r="A49" s="107" t="s">
        <v>223</v>
      </c>
      <c r="B49" s="20">
        <v>1</v>
      </c>
      <c r="C49" s="35"/>
      <c r="D49" s="39">
        <f>IFERROR(VLOOKUP(A49,[1]!Tabla8[#Data],3,FALSE),0)</f>
        <v>355821.87609999999</v>
      </c>
      <c r="E49" s="21">
        <f>B49*C49*D49</f>
        <v>0</v>
      </c>
      <c r="F49" s="281"/>
    </row>
    <row r="50" spans="1:6" x14ac:dyDescent="0.35">
      <c r="A50" s="107" t="s">
        <v>275</v>
      </c>
      <c r="B50" s="20">
        <v>2</v>
      </c>
      <c r="C50" s="40"/>
      <c r="D50" s="39">
        <f>IFERROR(VLOOKUP(A50,[1]!Tabla8[#Data],3,FALSE),0)</f>
        <v>382109.06042666658</v>
      </c>
      <c r="E50" s="21">
        <f t="shared" si="2"/>
        <v>0</v>
      </c>
      <c r="F50" s="281"/>
    </row>
    <row r="51" spans="1:6" x14ac:dyDescent="0.35">
      <c r="A51" s="287">
        <v>3</v>
      </c>
      <c r="B51" s="287"/>
      <c r="C51" s="287"/>
      <c r="D51" s="287"/>
      <c r="E51" s="287"/>
      <c r="F51" s="42">
        <f>SUM(E43:E50)</f>
        <v>0</v>
      </c>
    </row>
    <row r="52" spans="1:6" x14ac:dyDescent="0.35">
      <c r="A52" s="33" t="s">
        <v>279</v>
      </c>
      <c r="B52" s="34" t="s">
        <v>83</v>
      </c>
      <c r="C52" s="35" t="s">
        <v>84</v>
      </c>
      <c r="D52" s="36" t="s">
        <v>269</v>
      </c>
      <c r="E52" s="37" t="s">
        <v>86</v>
      </c>
      <c r="F52" s="283"/>
    </row>
    <row r="53" spans="1:6" x14ac:dyDescent="0.35">
      <c r="A53" s="108" t="s">
        <v>240</v>
      </c>
      <c r="B53" s="108">
        <v>1</v>
      </c>
      <c r="C53" s="108"/>
      <c r="D53" s="108">
        <f>IFERROR(VLOOKUP(A53,[1]!TablaTransporte[#Data],2,FALSE),0)</f>
        <v>550000</v>
      </c>
      <c r="E53" s="110">
        <f>B53*C53*D53</f>
        <v>0</v>
      </c>
      <c r="F53" s="284"/>
    </row>
    <row r="54" spans="1:6" x14ac:dyDescent="0.35">
      <c r="A54" s="108" t="s">
        <v>241</v>
      </c>
      <c r="B54" s="108">
        <v>1</v>
      </c>
      <c r="C54" s="108">
        <v>57</v>
      </c>
      <c r="D54" s="108">
        <f>IFERROR(VLOOKUP(A54,[1]!TablaTransporte[#Data],2,FALSE),0)</f>
        <v>65000</v>
      </c>
      <c r="E54" s="108">
        <f>B54*C54*D54</f>
        <v>3705000</v>
      </c>
      <c r="F54" s="284"/>
    </row>
    <row r="55" spans="1:6" x14ac:dyDescent="0.35">
      <c r="A55" s="41"/>
      <c r="B55" s="41"/>
      <c r="C55" s="41"/>
      <c r="D55" s="41">
        <f>IFERROR(VLOOKUP(A55,[1]!TablaTransporte[#Data],2,FALSE),0)</f>
        <v>0</v>
      </c>
      <c r="E55" s="41"/>
      <c r="F55" s="284"/>
    </row>
    <row r="56" spans="1:6" x14ac:dyDescent="0.35">
      <c r="A56" s="41"/>
      <c r="B56" s="41"/>
      <c r="C56" s="41"/>
      <c r="D56" s="41">
        <f>IFERROR(VLOOKUP(A56,[1]!TablaTransporte[#Data],2,FALSE),0)</f>
        <v>0</v>
      </c>
      <c r="E56" s="41"/>
      <c r="F56" s="285"/>
    </row>
    <row r="57" spans="1:6" x14ac:dyDescent="0.35">
      <c r="A57" s="43"/>
      <c r="B57" s="43"/>
      <c r="C57" s="43"/>
      <c r="D57" s="43"/>
      <c r="E57" s="43"/>
      <c r="F57" s="42">
        <f>E54</f>
        <v>3705000</v>
      </c>
    </row>
    <row r="58" spans="1:6" x14ac:dyDescent="0.35">
      <c r="A58" s="288"/>
      <c r="B58" s="289"/>
      <c r="C58" s="289"/>
      <c r="D58" s="289"/>
      <c r="E58" s="290"/>
      <c r="F58" s="42">
        <f>F22+F41+F51+F57</f>
        <v>3705000</v>
      </c>
    </row>
    <row r="59" spans="1:6" ht="15" thickBot="1" x14ac:dyDescent="0.4">
      <c r="A59" s="291">
        <v>0.15</v>
      </c>
      <c r="B59" s="292"/>
      <c r="C59" s="292"/>
      <c r="D59" s="292"/>
      <c r="E59" s="293"/>
      <c r="F59" s="44">
        <f>F58*A59</f>
        <v>555750</v>
      </c>
    </row>
    <row r="60" spans="1:6" ht="15" thickBot="1" x14ac:dyDescent="0.4">
      <c r="A60" s="299"/>
      <c r="B60" s="300"/>
      <c r="C60" s="300"/>
      <c r="D60" s="300"/>
      <c r="E60" s="301"/>
      <c r="F60" s="28">
        <f>F58+F59</f>
        <v>4260750</v>
      </c>
    </row>
    <row r="61" spans="1:6" ht="15" thickBot="1" x14ac:dyDescent="0.4">
      <c r="A61" s="302">
        <v>0.1</v>
      </c>
      <c r="B61" s="300"/>
      <c r="C61" s="300"/>
      <c r="D61" s="300"/>
      <c r="E61" s="301"/>
      <c r="F61" s="28">
        <f>F60*A61</f>
        <v>426075</v>
      </c>
    </row>
    <row r="62" spans="1:6" ht="15" thickBot="1" x14ac:dyDescent="0.4">
      <c r="A62" s="286"/>
      <c r="B62" s="286"/>
      <c r="C62" s="286"/>
      <c r="D62" s="286"/>
      <c r="E62" s="286"/>
      <c r="F62" s="28">
        <f>F60+F61</f>
        <v>4686825</v>
      </c>
    </row>
    <row r="63" spans="1:6" x14ac:dyDescent="0.35">
      <c r="F63" s="80">
        <f>F62/F3</f>
        <v>187473</v>
      </c>
    </row>
  </sheetData>
  <mergeCells count="13">
    <mergeCell ref="A60:E60"/>
    <mergeCell ref="A61:E61"/>
    <mergeCell ref="A62:E62"/>
    <mergeCell ref="F42:F50"/>
    <mergeCell ref="A51:E51"/>
    <mergeCell ref="F52:F56"/>
    <mergeCell ref="A58:E58"/>
    <mergeCell ref="A59:E59"/>
    <mergeCell ref="A41:E41"/>
    <mergeCell ref="A1:F1"/>
    <mergeCell ref="F4:F21"/>
    <mergeCell ref="A22:E22"/>
    <mergeCell ref="F23:F40"/>
  </mergeCells>
  <dataValidations count="4">
    <dataValidation type="list" allowBlank="1" showInputMessage="1" showErrorMessage="1" sqref="A24:A41" xr:uid="{38761599-0F1C-4948-A5F0-FC75C2B81BD8}">
      <formula1>ListaMateriales</formula1>
    </dataValidation>
    <dataValidation type="list" allowBlank="1" showInputMessage="1" showErrorMessage="1" sqref="A3 A4 A5 A6 A7 A8 A9 A10 A11 A12 A13 A14 A15 A16 A17 A18 A19 A20 A21 A22" xr:uid="{510C4A97-D29E-41C7-9BB1-876732BAABBA}">
      <formula1>ListaEquipos</formula1>
    </dataValidation>
    <dataValidation type="list" allowBlank="1" showInputMessage="1" showErrorMessage="1" sqref="A54 A55 A56" xr:uid="{E9B53F87-4BB7-4042-BB71-DF2F031DDE00}">
      <formula1>ListaTransporte</formula1>
    </dataValidation>
    <dataValidation type="list" allowBlank="1" showInputMessage="1" showErrorMessage="1" sqref="A43:A50" xr:uid="{CC61E51F-86C6-4422-9A43-38A5E73A50D5}">
      <formula1>ListaProfesiones</formula1>
    </dataValidation>
  </dataValidation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B87B5-5752-450C-A4CA-A46A34049F4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61</vt:i4>
      </vt:variant>
    </vt:vector>
  </HeadingPairs>
  <TitlesOfParts>
    <vt:vector size="61" baseType="lpstr">
      <vt:lpstr>herramientas mat transp y mano</vt:lpstr>
      <vt:lpstr>trazado,locali y replanteo</vt:lpstr>
      <vt:lpstr>cerramiento </vt:lpstr>
      <vt:lpstr>campamento</vt:lpstr>
      <vt:lpstr>andamios</vt:lpstr>
      <vt:lpstr>topografia</vt:lpstr>
      <vt:lpstr>acarreobotadero</vt:lpstr>
      <vt:lpstr>movimiento tierra</vt:lpstr>
      <vt:lpstr> excavacion -1,20mts</vt:lpstr>
      <vt:lpstr>excavación +1,20mts</vt:lpstr>
      <vt:lpstr>excavación sin presencia</vt:lpstr>
      <vt:lpstr>excavación con presencia </vt:lpstr>
      <vt:lpstr>demolición concreto</vt:lpstr>
      <vt:lpstr>relleno manual </vt:lpstr>
      <vt:lpstr>relleno mecanico</vt:lpstr>
      <vt:lpstr>relleno con material</vt:lpstr>
      <vt:lpstr>suministro y colocación </vt:lpstr>
      <vt:lpstr>suministro e instalación </vt:lpstr>
      <vt:lpstr>suministro e inst. en gravilla </vt:lpstr>
      <vt:lpstr>suministro e inst. de adoquin </vt:lpstr>
      <vt:lpstr>suministro e inst. ladrillo </vt:lpstr>
      <vt:lpstr>revegetalización </vt:lpstr>
      <vt:lpstr>escarifitación </vt:lpstr>
      <vt:lpstr>construción alcantarilla </vt:lpstr>
      <vt:lpstr>canal en piedra </vt:lpstr>
      <vt:lpstr>suministro e inst. de geodrén </vt:lpstr>
      <vt:lpstr>colocación de geotextil </vt:lpstr>
      <vt:lpstr>colocación de geomembrana </vt:lpstr>
      <vt:lpstr>entibado en zanja </vt:lpstr>
      <vt:lpstr>construción de gaviones</vt:lpstr>
      <vt:lpstr>gaviones en sacos </vt:lpstr>
      <vt:lpstr>demolición de gaviones</vt:lpstr>
      <vt:lpstr>construcción de diques</vt:lpstr>
      <vt:lpstr>trinchos en madera</vt:lpstr>
      <vt:lpstr>drenajes e aguas </vt:lpstr>
      <vt:lpstr>instalación de tubería </vt:lpstr>
      <vt:lpstr>concreto simple</vt:lpstr>
      <vt:lpstr>concreto en espacios confinado </vt:lpstr>
      <vt:lpstr>concreto ciclópeo</vt:lpstr>
      <vt:lpstr>acero de refuerzo</vt:lpstr>
      <vt:lpstr>acero en espacio confinado </vt:lpstr>
      <vt:lpstr>mampostería en ladrillo </vt:lpstr>
      <vt:lpstr> mortero </vt:lpstr>
      <vt:lpstr>mortero impermeabilizado </vt:lpstr>
      <vt:lpstr>inst. y suministro de concreto</vt:lpstr>
      <vt:lpstr>juntas de dilatación &lt; 1cm</vt:lpstr>
      <vt:lpstr>juntas de dilatación &gt;1cm</vt:lpstr>
      <vt:lpstr>RESUMEN ACTUALIZADO</vt:lpstr>
      <vt:lpstr>reparación de grietas falta </vt:lpstr>
      <vt:lpstr>reparación pavimento rígido fal</vt:lpstr>
      <vt:lpstr>dotacion</vt:lpstr>
      <vt:lpstr>tabla salarial</vt:lpstr>
      <vt:lpstr>retiro de tuberia </vt:lpstr>
      <vt:lpstr>preparación de superficie </vt:lpstr>
      <vt:lpstr>Preparación tuberia metálica </vt:lpstr>
      <vt:lpstr>tuberia HDPE</vt:lpstr>
      <vt:lpstr>instalación tuberia PVC</vt:lpstr>
      <vt:lpstr> tuberia PVC</vt:lpstr>
      <vt:lpstr>mecánica pailería </vt:lpstr>
      <vt:lpstr>izaje de cargas </vt:lpstr>
      <vt:lpstr>Hoja23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RFC</dc:creator>
  <cp:lastModifiedBy>jorge figueroa</cp:lastModifiedBy>
  <cp:lastPrinted>2026-09-19T19:17:05Z</cp:lastPrinted>
  <dcterms:created xsi:type="dcterms:W3CDTF">2017-06-08T01:28:35Z</dcterms:created>
  <dcterms:modified xsi:type="dcterms:W3CDTF">2026-10-02T15:26:04Z</dcterms:modified>
</cp:coreProperties>
</file>